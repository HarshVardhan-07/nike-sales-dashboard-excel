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202300"/>
  <mc:AlternateContent xmlns:mc="http://schemas.openxmlformats.org/markup-compatibility/2006">
    <mc:Choice Requires="x15">
      <x15ac:absPath xmlns:x15ac="http://schemas.microsoft.com/office/spreadsheetml/2010/11/ac" url="C:\Users\harsh\Desktop\Nike Sales Dashboard\Dashboard\"/>
    </mc:Choice>
  </mc:AlternateContent>
  <xr:revisionPtr revIDLastSave="0" documentId="13_ncr:1_{5F0093B2-D5C1-4AAC-A83F-FBC01E070707}" xr6:coauthVersionLast="47" xr6:coauthVersionMax="47" xr10:uidLastSave="{00000000-0000-0000-0000-000000000000}"/>
  <bookViews>
    <workbookView xWindow="-108" yWindow="-108" windowWidth="23256" windowHeight="13896" firstSheet="3" activeTab="3" xr2:uid="{C553230D-0BFC-4BD7-82D6-ABD8DBFAFAF5}"/>
  </bookViews>
  <sheets>
    <sheet name="Cleaned_Data" sheetId="5" state="hidden" r:id="rId1"/>
    <sheet name="Analysis" sheetId="2" state="hidden" r:id="rId2"/>
    <sheet name="Calculations" sheetId="3" state="hidden" r:id="rId3"/>
    <sheet name="Dashboard" sheetId="4" r:id="rId4"/>
  </sheets>
  <definedNames>
    <definedName name="ExternalData_1" localSheetId="0" hidden="1">Cleaned_Data!$A$1:$P$483</definedName>
    <definedName name="Slicer_Discount_Bucket">#N/A</definedName>
    <definedName name="Slicer_Gender">#N/A</definedName>
    <definedName name="Slicer_Region">#N/A</definedName>
    <definedName name="Slicer_Sales_Channel">#N/A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 l="1"/>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G3" i="3"/>
  <c r="C4" i="3"/>
  <c r="C3" i="3"/>
  <c r="C5" i="3"/>
  <c r="C9" i="3"/>
  <c r="C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CFE514-01F6-4409-903A-53641A60B36A}" keepAlive="1" name="Query - Cleaned_Data" description="Connection to the 'Cleaned_Data' query in the workbook." type="5" refreshedVersion="0" background="1">
    <dbPr connection="Provider=Microsoft.Mashup.OleDb.1;Data Source=$Workbook$;Location=Cleaned_Data;Extended Properties=&quot;&quot;" command="SELECT * FROM [Cleaned_Data]"/>
  </connection>
  <connection id="2" xr16:uid="{D58D2996-BFAA-49B4-8FA3-02D7CB9CEE5A}" keepAlive="1" name="Query - MRP" description="Connection to the 'MRP' query in the workbook." type="5" refreshedVersion="0" background="1">
    <dbPr connection="Provider=Microsoft.Mashup.OleDb.1;Data Source=$Workbook$;Location=MRP;Extended Properties=&quot;&quot;" command="SELECT * FROM [MRP]"/>
  </connection>
  <connection id="3" xr16:uid="{AFE1D4EA-295E-4BCF-A8B5-5F08F85C1D50}" keepAlive="1" name="Query - Nike_Sales_Cleaned" description="Connection to the 'Nike_Sales_Cleaned' query in the workbook." type="5" refreshedVersion="8" background="1" saveData="1">
    <dbPr connection="Provider=Microsoft.Mashup.OleDb.1;Data Source=$Workbook$;Location=Nike_Sales_Cleaned;Extended Properties=&quot;&quot;" command="SELECT * FROM [Nike_Sales_Cleaned]"/>
  </connection>
  <connection id="4" xr16:uid="{CCB5417E-7C24-420A-9778-401CFD413F60}" keepAlive="1" name="Query - Nike_Sales_Uncleaned" description="Connection to the 'Nike_Sales_Uncleaned' query in the workbook." type="5" refreshedVersion="0" background="1">
    <dbPr connection="Provider=Microsoft.Mashup.OleDb.1;Data Source=$Workbook$;Location=Nike_Sales_Uncleaned;Extended Properties=&quot;&quot;" command="SELECT * FROM [Nike_Sales_Uncleaned]"/>
  </connection>
</connections>
</file>

<file path=xl/sharedStrings.xml><?xml version="1.0" encoding="utf-8"?>
<sst xmlns="http://schemas.openxmlformats.org/spreadsheetml/2006/main" count="3490" uniqueCount="111">
  <si>
    <t>Order_ID</t>
  </si>
  <si>
    <t>Product_Line</t>
  </si>
  <si>
    <t>Product_Name</t>
  </si>
  <si>
    <t>Size</t>
  </si>
  <si>
    <t>Units_Sold</t>
  </si>
  <si>
    <t>Revenue</t>
  </si>
  <si>
    <t>Order_Date</t>
  </si>
  <si>
    <t>Sales_Channel</t>
  </si>
  <si>
    <t>Region</t>
  </si>
  <si>
    <t>Profit</t>
  </si>
  <si>
    <t>Kids</t>
  </si>
  <si>
    <t>Training</t>
  </si>
  <si>
    <t>SuperRep Go</t>
  </si>
  <si>
    <t>M</t>
  </si>
  <si>
    <t>Online</t>
  </si>
  <si>
    <t>Women</t>
  </si>
  <si>
    <t>Soccer</t>
  </si>
  <si>
    <t>Tiempo Legend</t>
  </si>
  <si>
    <t>Retail</t>
  </si>
  <si>
    <t>Premier III</t>
  </si>
  <si>
    <t>Lifestyle</t>
  </si>
  <si>
    <t>Blazer Mid</t>
  </si>
  <si>
    <t>L</t>
  </si>
  <si>
    <t>Running</t>
  </si>
  <si>
    <t>React Infinity</t>
  </si>
  <si>
    <t>XL</t>
  </si>
  <si>
    <t>Flex Trainer</t>
  </si>
  <si>
    <t>Men</t>
  </si>
  <si>
    <t>11</t>
  </si>
  <si>
    <t>Mercurial Superfly</t>
  </si>
  <si>
    <t>Waffle One</t>
  </si>
  <si>
    <t>Basketball</t>
  </si>
  <si>
    <t>Air Jordan</t>
  </si>
  <si>
    <t>9</t>
  </si>
  <si>
    <t>Metcon 7</t>
  </si>
  <si>
    <t>Air Zoom</t>
  </si>
  <si>
    <t>6</t>
  </si>
  <si>
    <t>Free RN</t>
  </si>
  <si>
    <t>Kyrie Flytrap</t>
  </si>
  <si>
    <t>Zoom Freak</t>
  </si>
  <si>
    <t>12</t>
  </si>
  <si>
    <t>ZoomX Invincible</t>
  </si>
  <si>
    <t>Phantom GT</t>
  </si>
  <si>
    <t>Pegasus Turbo</t>
  </si>
  <si>
    <t>7</t>
  </si>
  <si>
    <t>Dunk Low</t>
  </si>
  <si>
    <t>10</t>
  </si>
  <si>
    <t>Air Force 1</t>
  </si>
  <si>
    <t>LeBron 20</t>
  </si>
  <si>
    <t>8</t>
  </si>
  <si>
    <t>Grand Total</t>
  </si>
  <si>
    <t>Sum of MRP</t>
  </si>
  <si>
    <t>Sum of Profit</t>
  </si>
  <si>
    <t>Sum of Revenue</t>
  </si>
  <si>
    <t>MRP</t>
  </si>
  <si>
    <t>PROFIT</t>
  </si>
  <si>
    <t>REVENUE</t>
  </si>
  <si>
    <t>Profit Margin</t>
  </si>
  <si>
    <t>Discount</t>
  </si>
  <si>
    <t>Gender</t>
  </si>
  <si>
    <t>Selling_Price</t>
  </si>
  <si>
    <t>Hyderabad</t>
  </si>
  <si>
    <t>Pune</t>
  </si>
  <si>
    <t>Mumbai</t>
  </si>
  <si>
    <t>Bengaluru</t>
  </si>
  <si>
    <t>Delhi</t>
  </si>
  <si>
    <t>Kolkata</t>
  </si>
  <si>
    <t xml:space="preserve">Profit_Margin </t>
  </si>
  <si>
    <t xml:space="preserve">Average of Profit_Margin </t>
  </si>
  <si>
    <t>Units Sold</t>
  </si>
  <si>
    <t>Sum of Units_Sold</t>
  </si>
  <si>
    <t>Pivot Tables and Analysis</t>
  </si>
  <si>
    <t xml:space="preserve">KPI </t>
  </si>
  <si>
    <t>Discount_Bucket</t>
  </si>
  <si>
    <t>0-10%</t>
  </si>
  <si>
    <t>50%+</t>
  </si>
  <si>
    <t>10%-20%</t>
  </si>
  <si>
    <t>30%-50%</t>
  </si>
  <si>
    <t>20%-30%</t>
  </si>
  <si>
    <t>City</t>
  </si>
  <si>
    <t xml:space="preserve"> Revenue</t>
  </si>
  <si>
    <t xml:space="preserve"> Profit</t>
  </si>
  <si>
    <t>Jan</t>
  </si>
  <si>
    <t>Feb</t>
  </si>
  <si>
    <t>Mar</t>
  </si>
  <si>
    <t>Apr</t>
  </si>
  <si>
    <t>May</t>
  </si>
  <si>
    <t>Jun</t>
  </si>
  <si>
    <t>Jul</t>
  </si>
  <si>
    <t>Aug</t>
  </si>
  <si>
    <t>Sep</t>
  </si>
  <si>
    <t>Oct</t>
  </si>
  <si>
    <t>Nov</t>
  </si>
  <si>
    <t>Dec</t>
  </si>
  <si>
    <t>Months</t>
  </si>
  <si>
    <t>Row Labels</t>
  </si>
  <si>
    <t>Dicount</t>
  </si>
  <si>
    <t xml:space="preserve"> Profit Margin</t>
  </si>
  <si>
    <t>Top Product</t>
  </si>
  <si>
    <t>Year</t>
  </si>
  <si>
    <t>KEY INSIGHTS AND RECOMMENDATIONS</t>
  </si>
  <si>
    <r>
      <rPr>
        <b/>
        <sz val="14"/>
        <color rgb="FF00B050"/>
        <rFont val="Aptos Narrow"/>
        <family val="2"/>
        <scheme val="minor"/>
      </rPr>
      <t>Recommendation:</t>
    </r>
    <r>
      <rPr>
        <b/>
        <sz val="14"/>
        <color theme="1"/>
        <rFont val="Aptos Narrow"/>
        <family val="2"/>
        <scheme val="minor"/>
      </rPr>
      <t xml:space="preserve"> </t>
    </r>
    <r>
      <rPr>
        <sz val="14"/>
        <color theme="1"/>
        <rFont val="Aptos Narrow"/>
        <family val="2"/>
        <scheme val="minor"/>
      </rPr>
      <t>Focus on</t>
    </r>
    <r>
      <rPr>
        <b/>
        <sz val="14"/>
        <color theme="1"/>
        <rFont val="Aptos Narrow"/>
        <family val="2"/>
        <scheme val="minor"/>
      </rPr>
      <t xml:space="preserve"> </t>
    </r>
    <r>
      <rPr>
        <b/>
        <sz val="14"/>
        <color rgb="FF00B050"/>
        <rFont val="Aptos Narrow"/>
        <family val="2"/>
        <scheme val="minor"/>
      </rPr>
      <t>strengthening retail presence</t>
    </r>
    <r>
      <rPr>
        <sz val="14"/>
        <color theme="1"/>
        <rFont val="Aptos Narrow"/>
        <family val="2"/>
        <scheme val="minor"/>
      </rPr>
      <t xml:space="preserve"> while</t>
    </r>
    <r>
      <rPr>
        <b/>
        <sz val="14"/>
        <color rgb="FF00B050"/>
        <rFont val="Aptos Narrow"/>
        <family val="2"/>
        <scheme val="minor"/>
      </rPr>
      <t xml:space="preserve"> optimizing online discount strategies</t>
    </r>
    <r>
      <rPr>
        <sz val="14"/>
        <color theme="1"/>
        <rFont val="Aptos Narrow"/>
        <family val="2"/>
        <scheme val="minor"/>
      </rPr>
      <t xml:space="preserve"> to improve margins.</t>
    </r>
  </si>
  <si>
    <r>
      <rPr>
        <b/>
        <sz val="14"/>
        <color rgb="FF00B050"/>
        <rFont val="Aptos Narrow"/>
        <family val="2"/>
        <scheme val="minor"/>
      </rPr>
      <t>Recommendation:</t>
    </r>
    <r>
      <rPr>
        <b/>
        <sz val="14"/>
        <color rgb="FFC00000"/>
        <rFont val="Aptos Narrow"/>
        <family val="2"/>
        <scheme val="minor"/>
      </rPr>
      <t xml:space="preserve"> Limit deep discounting</t>
    </r>
    <r>
      <rPr>
        <sz val="14"/>
        <color theme="1"/>
        <rFont val="Aptos Narrow"/>
        <family val="2"/>
        <scheme val="minor"/>
      </rPr>
      <t xml:space="preserve"> and prioritize moderate discount bands </t>
    </r>
    <r>
      <rPr>
        <b/>
        <sz val="14"/>
        <color rgb="FF00B050"/>
        <rFont val="Aptos Narrow"/>
        <family val="2"/>
        <scheme val="minor"/>
      </rPr>
      <t>(10–30%)</t>
    </r>
    <r>
      <rPr>
        <sz val="14"/>
        <color theme="1"/>
        <rFont val="Aptos Narrow"/>
        <family val="2"/>
        <scheme val="minor"/>
      </rPr>
      <t xml:space="preserve"> for better profit efficiency.</t>
    </r>
  </si>
  <si>
    <r>
      <rPr>
        <b/>
        <sz val="14"/>
        <color rgb="FF00B050"/>
        <rFont val="Aptos Narrow"/>
        <family val="2"/>
        <scheme val="minor"/>
      </rPr>
      <t>Recommendation:</t>
    </r>
    <r>
      <rPr>
        <sz val="14"/>
        <color theme="1"/>
        <rFont val="Aptos Narrow"/>
        <family val="2"/>
        <scheme val="minor"/>
      </rPr>
      <t xml:space="preserve"> Increase</t>
    </r>
    <r>
      <rPr>
        <b/>
        <sz val="14"/>
        <color rgb="FF00B050"/>
        <rFont val="Aptos Narrow"/>
        <family val="2"/>
        <scheme val="minor"/>
      </rPr>
      <t xml:space="preserve"> focus on high-performing segments</t>
    </r>
    <r>
      <rPr>
        <sz val="14"/>
        <color theme="1"/>
        <rFont val="Aptos Narrow"/>
        <family val="2"/>
        <scheme val="minor"/>
      </rPr>
      <t xml:space="preserve"> through</t>
    </r>
    <r>
      <rPr>
        <b/>
        <sz val="14"/>
        <color theme="1"/>
        <rFont val="Aptos Narrow"/>
        <family val="2"/>
        <scheme val="minor"/>
      </rPr>
      <t xml:space="preserve"> targeted marketing and inventory allocation</t>
    </r>
    <r>
      <rPr>
        <sz val="14"/>
        <color theme="1"/>
        <rFont val="Aptos Narrow"/>
        <family val="2"/>
        <scheme val="minor"/>
      </rPr>
      <t>.</t>
    </r>
  </si>
  <si>
    <r>
      <t>Channel Performance: Retail channel</t>
    </r>
    <r>
      <rPr>
        <sz val="14"/>
        <color theme="1"/>
        <rFont val="Aptos Narrow"/>
        <family val="2"/>
        <scheme val="minor"/>
      </rPr>
      <t xml:space="preserve"> consistently</t>
    </r>
    <r>
      <rPr>
        <b/>
        <sz val="14"/>
        <color theme="1"/>
        <rFont val="Aptos Narrow"/>
        <family val="2"/>
        <scheme val="minor"/>
      </rPr>
      <t xml:space="preserve"> delivers higher profit margins</t>
    </r>
    <r>
      <rPr>
        <sz val="14"/>
        <color theme="1"/>
        <rFont val="Aptos Narrow"/>
        <family val="2"/>
        <scheme val="minor"/>
      </rPr>
      <t xml:space="preserve"> compared to Online sales. </t>
    </r>
  </si>
  <si>
    <r>
      <t xml:space="preserve">Customer Segment Insight: </t>
    </r>
    <r>
      <rPr>
        <sz val="14"/>
        <color theme="1"/>
        <rFont val="Aptos Narrow"/>
        <family val="2"/>
        <scheme val="minor"/>
      </rPr>
      <t>Kids category contributes the highest share of profit (~38%), making it a key growth driver.</t>
    </r>
  </si>
  <si>
    <r>
      <t>Discount Strategy Impact</t>
    </r>
    <r>
      <rPr>
        <b/>
        <sz val="14"/>
        <color rgb="FFC00000"/>
        <rFont val="Aptos Narrow"/>
        <family val="2"/>
        <scheme val="minor"/>
      </rPr>
      <t>: High discount ranges (&gt;50%)</t>
    </r>
    <r>
      <rPr>
        <b/>
        <sz val="14"/>
        <color theme="1"/>
        <rFont val="Aptos Narrow"/>
        <family val="2"/>
        <scheme val="minor"/>
      </rPr>
      <t xml:space="preserve"> </t>
    </r>
    <r>
      <rPr>
        <sz val="14"/>
        <color theme="1"/>
        <rFont val="Aptos Narrow"/>
        <family val="2"/>
        <scheme val="minor"/>
      </rPr>
      <t>significantly reduce profitability (~6%), despite contributing to revenue.</t>
    </r>
  </si>
  <si>
    <t>Regional Performance: Certain regions generate high revenue but relatively lower profitability.</t>
  </si>
  <si>
    <r>
      <rPr>
        <b/>
        <sz val="14"/>
        <color rgb="FF00B050"/>
        <rFont val="Aptos Narrow"/>
        <family val="2"/>
        <scheme val="minor"/>
      </rPr>
      <t>Recommendation:</t>
    </r>
    <r>
      <rPr>
        <b/>
        <sz val="14"/>
        <color theme="1"/>
        <rFont val="Aptos Narrow"/>
        <family val="2"/>
        <scheme val="minor"/>
      </rPr>
      <t xml:space="preserve"> Investigate cost structure and pricing strategy in underperforming regions.</t>
    </r>
  </si>
  <si>
    <t>Best Segment</t>
  </si>
  <si>
    <t>Revenue and Profit over product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</si>
</sst>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_ ;_ [$₹-4009]\ * \-#,##0_ ;_ [$₹-4009]\ * &quot;-&quot;??_ ;_ @_ "/>
    <numFmt numFmtId="165" formatCode="_ &quot;₹&quot;\ * #,##0_ ;_ &quot;₹&quot;\ * \-#,##0_ ;_ &quot;₹&quot;\ * &quot;-&quot;??_ ;_ @_ "/>
  </numFmts>
  <fonts count="14" x14ac:knownFonts="1">
    <font>
      <sz val="11"/>
      <color theme="1"/>
      <name val="Aptos Narrow"/>
      <family val="2"/>
      <scheme val="minor"/>
    </font>
    <font>
      <b/>
      <sz val="11"/>
      <color theme="1"/>
      <name val="Aptos Narrow"/>
      <family val="2"/>
      <scheme val="minor"/>
    </font>
    <font>
      <sz val="11"/>
      <color theme="1"/>
      <name val="Aptos Narrow"/>
      <family val="2"/>
      <scheme val="minor"/>
    </font>
    <font>
      <b/>
      <sz val="20"/>
      <color theme="1"/>
      <name val="Aptos Narrow"/>
      <family val="2"/>
      <scheme val="minor"/>
    </font>
    <font>
      <b/>
      <sz val="16"/>
      <color theme="1"/>
      <name val="Aptos Narrow"/>
      <family val="2"/>
      <scheme val="minor"/>
    </font>
    <font>
      <b/>
      <sz val="14"/>
      <color theme="1"/>
      <name val="Aptos Narrow"/>
      <family val="2"/>
      <scheme val="minor"/>
    </font>
    <font>
      <b/>
      <sz val="24"/>
      <color theme="1"/>
      <name val="Aptos Display"/>
      <family val="2"/>
      <scheme val="major"/>
    </font>
    <font>
      <b/>
      <sz val="14"/>
      <color rgb="FF00B050"/>
      <name val="Aptos Narrow"/>
      <family val="2"/>
      <scheme val="minor"/>
    </font>
    <font>
      <sz val="14"/>
      <color theme="1"/>
      <name val="Aptos Narrow"/>
      <family val="2"/>
      <scheme val="minor"/>
    </font>
    <font>
      <b/>
      <sz val="14"/>
      <color rgb="FFC00000"/>
      <name val="Aptos Narrow"/>
      <family val="2"/>
      <scheme val="minor"/>
    </font>
    <font>
      <b/>
      <u/>
      <sz val="24"/>
      <color theme="1"/>
      <name val="Aptos Display"/>
      <family val="2"/>
      <scheme val="major"/>
    </font>
    <font>
      <u/>
      <sz val="11"/>
      <color theme="1"/>
      <name val="Aptos Narrow"/>
      <family val="2"/>
      <scheme val="minor"/>
    </font>
    <font>
      <sz val="16"/>
      <color theme="1"/>
      <name val="Aptos Narrow"/>
      <family val="2"/>
      <scheme val="minor"/>
    </font>
    <font>
      <b/>
      <sz val="16"/>
      <color theme="1"/>
      <name val="Aptos Display"/>
      <scheme val="maj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70C0"/>
        <bgColor indexed="64"/>
      </patternFill>
    </fill>
  </fills>
  <borders count="2">
    <border>
      <left/>
      <right/>
      <top/>
      <bottom/>
      <diagonal/>
    </border>
    <border>
      <left/>
      <right/>
      <top style="thin">
        <color theme="4" tint="0.39997558519241921"/>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31">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0" fontId="0" fillId="0" borderId="0" xfId="0" applyAlignment="1">
      <alignment horizontal="center"/>
    </xf>
    <xf numFmtId="9" fontId="0" fillId="0" borderId="0" xfId="0" applyNumberFormat="1"/>
    <xf numFmtId="9" fontId="0" fillId="0" borderId="0" xfId="1" applyFont="1"/>
    <xf numFmtId="10" fontId="0" fillId="0" borderId="0" xfId="0" applyNumberFormat="1"/>
    <xf numFmtId="0" fontId="1" fillId="2" borderId="1" xfId="0" applyFont="1" applyFill="1" applyBorder="1" applyAlignment="1">
      <alignment horizontal="left"/>
    </xf>
    <xf numFmtId="164" fontId="1" fillId="2" borderId="1" xfId="0" applyNumberFormat="1" applyFont="1" applyFill="1" applyBorder="1"/>
    <xf numFmtId="9" fontId="0" fillId="0" borderId="0" xfId="1" applyFont="1" applyAlignment="1">
      <alignment horizontal="left"/>
    </xf>
    <xf numFmtId="165" fontId="0" fillId="0" borderId="0" xfId="2" applyNumberFormat="1" applyFont="1"/>
    <xf numFmtId="0" fontId="4" fillId="0" borderId="0" xfId="0" applyFont="1" applyAlignment="1">
      <alignment horizontal="left"/>
    </xf>
    <xf numFmtId="9" fontId="4" fillId="0" borderId="0" xfId="0" applyNumberFormat="1" applyFont="1"/>
    <xf numFmtId="165" fontId="0" fillId="0" borderId="0" xfId="0" applyNumberFormat="1"/>
    <xf numFmtId="10" fontId="4" fillId="0" borderId="0" xfId="0" applyNumberFormat="1" applyFont="1"/>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0" fillId="0" borderId="0" xfId="0" applyFont="1" applyAlignment="1">
      <alignment horizontal="center"/>
    </xf>
    <xf numFmtId="0" fontId="11" fillId="0" borderId="0" xfId="0" applyFont="1" applyAlignment="1">
      <alignment horizontal="center"/>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xf>
    <xf numFmtId="0" fontId="12" fillId="0" borderId="0" xfId="0" applyFont="1" applyAlignment="1">
      <alignment horizontal="center" vertical="center"/>
    </xf>
    <xf numFmtId="0" fontId="6" fillId="0" borderId="0" xfId="0" applyFont="1" applyAlignment="1">
      <alignment horizontal="center"/>
    </xf>
    <xf numFmtId="0" fontId="13" fillId="3" borderId="0" xfId="0" applyFont="1" applyFill="1" applyAlignment="1">
      <alignment horizontal="center" vertical="center"/>
    </xf>
    <xf numFmtId="165" fontId="13" fillId="3" borderId="0" xfId="0" applyNumberFormat="1" applyFont="1" applyFill="1" applyAlignment="1">
      <alignment horizontal="center" vertical="center"/>
    </xf>
    <xf numFmtId="0" fontId="0" fillId="0" borderId="0" xfId="0" applyNumberFormat="1"/>
  </cellXfs>
  <cellStyles count="3">
    <cellStyle name="Currency" xfId="2" builtinId="4"/>
    <cellStyle name="Normal" xfId="0" builtinId="0"/>
    <cellStyle name="Percent" xfId="1" builtinId="5"/>
  </cellStyles>
  <dxfs count="323">
    <dxf>
      <numFmt numFmtId="165" formatCode="_ &quot;₹&quot;\ * #,##0_ ;_ &quot;₹&quot;\ * \-#,##0_ ;_ &quot;₹&quot;\ * &quot;-&quot;??_ ;_ @_ "/>
    </dxf>
    <dxf>
      <numFmt numFmtId="165" formatCode="_ &quot;₹&quot;\ * #,##0_ ;_ &quot;₹&quot;\ * \-#,##0_ ;_ &quot;₹&quot;\ * &quot;-&quot;??_ ;_ @_ "/>
    </dxf>
    <dxf>
      <numFmt numFmtId="14" formatCode="0.00%"/>
    </dxf>
    <dxf>
      <numFmt numFmtId="13" formatCode="0%"/>
    </dxf>
    <dxf>
      <numFmt numFmtId="164" formatCode="_ [$₹-4009]\ * #,##0_ ;_ [$₹-4009]\ * \-#,##0_ ;_ [$₹-4009]\ * &quot;-&quot;??_ ;_ @_ "/>
    </dxf>
    <dxf>
      <numFmt numFmtId="13" formatCode="0%"/>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5" formatCode="_ &quot;₹&quot;\ * #,##0_ ;_ &quot;₹&quot;\ * \-#,##0_ ;_ &quot;₹&quot;\ * &quot;-&quot;??_ ;_ @_ "/>
    </dxf>
    <dxf>
      <numFmt numFmtId="165" formatCode="_ &quot;₹&quot;\ * #,##0_ ;_ &quot;₹&quot;\ * \-#,##0_ ;_ &quot;₹&quot;\ * &quot;-&quot;??_ ;_ @_ "/>
    </dxf>
    <dxf>
      <font>
        <sz val="16"/>
      </font>
    </dxf>
    <dxf>
      <font>
        <sz val="16"/>
      </font>
    </dxf>
    <dxf>
      <font>
        <sz val="16"/>
      </font>
    </dxf>
    <dxf>
      <font>
        <sz val="16"/>
      </font>
    </dxf>
    <dxf>
      <font>
        <sz val="16"/>
      </font>
    </dxf>
    <dxf>
      <font>
        <sz val="16"/>
      </font>
    </dxf>
    <dxf>
      <fill>
        <patternFill patternType="solid">
          <bgColor rgb="FFBB2C2C"/>
        </patternFill>
      </fill>
    </dxf>
    <dxf>
      <fill>
        <patternFill patternType="solid">
          <bgColor rgb="FFBB2C2C"/>
        </patternFill>
      </fill>
    </dxf>
    <dxf>
      <alignment vertical="center"/>
    </dxf>
    <dxf>
      <alignment vertical="center"/>
    </dxf>
    <dxf>
      <alignment horizontal="center"/>
    </dxf>
    <dxf>
      <alignment horizontal="center"/>
    </dxf>
    <dxf>
      <fill>
        <patternFill patternType="solid">
          <bgColor rgb="FFBB2C2C"/>
        </patternFill>
      </fill>
    </dxf>
    <dxf>
      <alignment vertical="center"/>
    </dxf>
    <dxf>
      <alignment horizontal="center"/>
    </dxf>
    <dxf>
      <font>
        <b/>
      </font>
    </dxf>
    <dxf>
      <font>
        <b/>
      </font>
    </dxf>
    <dxf>
      <font>
        <b/>
      </font>
    </dxf>
    <dxf>
      <font>
        <b/>
      </font>
    </dxf>
    <dxf>
      <font>
        <b/>
      </font>
    </dxf>
    <dxf>
      <font>
        <b/>
      </font>
    </dxf>
    <dxf>
      <font>
        <color theme="0"/>
      </font>
    </dxf>
    <dxf>
      <numFmt numFmtId="14" formatCode="0.00%"/>
    </dxf>
    <dxf>
      <fill>
        <patternFill>
          <bgColor rgb="FF0070C0"/>
        </patternFill>
      </fill>
    </dxf>
    <dxf>
      <fill>
        <patternFill>
          <bgColor rgb="FF0070C0"/>
        </patternFill>
      </fill>
    </dxf>
    <dxf>
      <fill>
        <patternFill>
          <bgColor rgb="FF0070C0"/>
        </patternFill>
      </fill>
    </dxf>
    <dxf>
      <fill>
        <patternFill>
          <bgColor rgb="FF0070C0"/>
        </patternFill>
      </fill>
    </dxf>
    <dxf>
      <font>
        <name val="Aptos Display"/>
        <scheme val="major"/>
      </font>
    </dxf>
    <dxf>
      <font>
        <name val="Aptos Display"/>
        <scheme val="major"/>
      </font>
    </dxf>
    <dxf>
      <numFmt numFmtId="165" formatCode="_ &quot;₹&quot;\ * #,##0_ ;_ &quot;₹&quot;\ * \-#,##0_ ;_ &quot;₹&quot;\ * &quot;-&quot;??_ ;_ @_ "/>
    </dxf>
    <dxf>
      <numFmt numFmtId="165" formatCode="_ &quot;₹&quot;\ * #,##0_ ;_ &quot;₹&quot;\ * \-#,##0_ ;_ &quot;₹&quot;\ * &quot;-&quot;??_ ;_ @_ "/>
    </dxf>
    <dxf>
      <numFmt numFmtId="14" formatCode="0.00%"/>
    </dxf>
    <dxf>
      <numFmt numFmtId="13" formatCode="0%"/>
    </dxf>
    <dxf>
      <numFmt numFmtId="164" formatCode="_ [$₹-4009]\ * #,##0_ ;_ [$₹-4009]\ * \-#,##0_ ;_ [$₹-4009]\ * &quot;-&quot;??_ ;_ @_ "/>
    </dxf>
    <dxf>
      <numFmt numFmtId="13" formatCode="0%"/>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5" formatCode="_ &quot;₹&quot;\ * #,##0_ ;_ &quot;₹&quot;\ * \-#,##0_ ;_ &quot;₹&quot;\ * &quot;-&quot;??_ ;_ @_ "/>
    </dxf>
    <dxf>
      <numFmt numFmtId="165" formatCode="_ &quot;₹&quot;\ * #,##0_ ;_ &quot;₹&quot;\ * \-#,##0_ ;_ &quot;₹&quot;\ * &quot;-&quot;??_ ;_ @_ "/>
    </dxf>
    <dxf>
      <font>
        <sz val="16"/>
      </font>
    </dxf>
    <dxf>
      <font>
        <sz val="16"/>
      </font>
    </dxf>
    <dxf>
      <font>
        <sz val="16"/>
      </font>
    </dxf>
    <dxf>
      <font>
        <sz val="16"/>
      </font>
    </dxf>
    <dxf>
      <font>
        <sz val="16"/>
      </font>
    </dxf>
    <dxf>
      <font>
        <sz val="16"/>
      </font>
    </dxf>
    <dxf>
      <fill>
        <patternFill patternType="solid">
          <bgColor rgb="FFBB2C2C"/>
        </patternFill>
      </fill>
    </dxf>
    <dxf>
      <fill>
        <patternFill patternType="solid">
          <bgColor rgb="FFBB2C2C"/>
        </patternFill>
      </fill>
    </dxf>
    <dxf>
      <alignment vertical="center"/>
    </dxf>
    <dxf>
      <alignment vertical="center"/>
    </dxf>
    <dxf>
      <alignment horizontal="center"/>
    </dxf>
    <dxf>
      <alignment horizontal="center"/>
    </dxf>
    <dxf>
      <fill>
        <patternFill patternType="solid">
          <bgColor rgb="FFBB2C2C"/>
        </patternFill>
      </fill>
    </dxf>
    <dxf>
      <alignment vertical="center"/>
    </dxf>
    <dxf>
      <alignment horizontal="center"/>
    </dxf>
    <dxf>
      <font>
        <b/>
      </font>
    </dxf>
    <dxf>
      <font>
        <b/>
      </font>
    </dxf>
    <dxf>
      <font>
        <b/>
      </font>
    </dxf>
    <dxf>
      <font>
        <b/>
      </font>
    </dxf>
    <dxf>
      <font>
        <b/>
      </font>
    </dxf>
    <dxf>
      <font>
        <b/>
      </font>
    </dxf>
    <dxf>
      <font>
        <color theme="0"/>
      </font>
    </dxf>
    <dxf>
      <numFmt numFmtId="14" formatCode="0.00%"/>
    </dxf>
    <dxf>
      <fill>
        <patternFill>
          <bgColor rgb="FF0070C0"/>
        </patternFill>
      </fill>
    </dxf>
    <dxf>
      <fill>
        <patternFill>
          <bgColor rgb="FF0070C0"/>
        </patternFill>
      </fill>
    </dxf>
    <dxf>
      <fill>
        <patternFill>
          <bgColor rgb="FF0070C0"/>
        </patternFill>
      </fill>
    </dxf>
    <dxf>
      <fill>
        <patternFill>
          <bgColor rgb="FF0070C0"/>
        </patternFill>
      </fill>
    </dxf>
    <dxf>
      <font>
        <name val="Aptos Display"/>
        <scheme val="major"/>
      </font>
    </dxf>
    <dxf>
      <font>
        <name val="Aptos Display"/>
        <scheme val="major"/>
      </font>
    </dxf>
    <dxf>
      <numFmt numFmtId="165" formatCode="_ &quot;₹&quot;\ * #,##0_ ;_ &quot;₹&quot;\ * \-#,##0_ ;_ &quot;₹&quot;\ * &quot;-&quot;??_ ;_ @_ "/>
    </dxf>
    <dxf>
      <numFmt numFmtId="165" formatCode="_ &quot;₹&quot;\ * #,##0_ ;_ &quot;₹&quot;\ * \-#,##0_ ;_ &quot;₹&quot;\ * &quot;-&quot;??_ ;_ @_ "/>
    </dxf>
    <dxf>
      <numFmt numFmtId="14" formatCode="0.00%"/>
    </dxf>
    <dxf>
      <numFmt numFmtId="13" formatCode="0%"/>
    </dxf>
    <dxf>
      <numFmt numFmtId="164" formatCode="_ [$₹-4009]\ * #,##0_ ;_ [$₹-4009]\ * \-#,##0_ ;_ [$₹-4009]\ * &quot;-&quot;??_ ;_ @_ "/>
    </dxf>
    <dxf>
      <numFmt numFmtId="13" formatCode="0%"/>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5" formatCode="_ &quot;₹&quot;\ * #,##0_ ;_ &quot;₹&quot;\ * \-#,##0_ ;_ &quot;₹&quot;\ * &quot;-&quot;??_ ;_ @_ "/>
    </dxf>
    <dxf>
      <numFmt numFmtId="165" formatCode="_ &quot;₹&quot;\ * #,##0_ ;_ &quot;₹&quot;\ * \-#,##0_ ;_ &quot;₹&quot;\ * &quot;-&quot;??_ ;_ @_ "/>
    </dxf>
    <dxf>
      <font>
        <sz val="16"/>
      </font>
    </dxf>
    <dxf>
      <font>
        <sz val="16"/>
      </font>
    </dxf>
    <dxf>
      <font>
        <sz val="16"/>
      </font>
    </dxf>
    <dxf>
      <font>
        <sz val="16"/>
      </font>
    </dxf>
    <dxf>
      <font>
        <sz val="16"/>
      </font>
    </dxf>
    <dxf>
      <font>
        <sz val="16"/>
      </font>
    </dxf>
    <dxf>
      <fill>
        <patternFill patternType="solid">
          <bgColor rgb="FFBB2C2C"/>
        </patternFill>
      </fill>
    </dxf>
    <dxf>
      <fill>
        <patternFill patternType="solid">
          <bgColor rgb="FFBB2C2C"/>
        </patternFill>
      </fill>
    </dxf>
    <dxf>
      <alignment vertical="center"/>
    </dxf>
    <dxf>
      <alignment vertical="center"/>
    </dxf>
    <dxf>
      <alignment horizontal="center"/>
    </dxf>
    <dxf>
      <alignment horizontal="center"/>
    </dxf>
    <dxf>
      <fill>
        <patternFill patternType="solid">
          <bgColor rgb="FFBB2C2C"/>
        </patternFill>
      </fill>
    </dxf>
    <dxf>
      <alignment vertical="center"/>
    </dxf>
    <dxf>
      <alignment horizontal="center"/>
    </dxf>
    <dxf>
      <font>
        <b/>
      </font>
    </dxf>
    <dxf>
      <font>
        <b/>
      </font>
    </dxf>
    <dxf>
      <font>
        <b/>
      </font>
    </dxf>
    <dxf>
      <font>
        <b/>
      </font>
    </dxf>
    <dxf>
      <font>
        <b/>
      </font>
    </dxf>
    <dxf>
      <font>
        <b/>
      </font>
    </dxf>
    <dxf>
      <font>
        <color theme="0"/>
      </font>
    </dxf>
    <dxf>
      <numFmt numFmtId="14" formatCode="0.00%"/>
    </dxf>
    <dxf>
      <fill>
        <patternFill>
          <bgColor rgb="FF0070C0"/>
        </patternFill>
      </fill>
    </dxf>
    <dxf>
      <fill>
        <patternFill>
          <bgColor rgb="FF0070C0"/>
        </patternFill>
      </fill>
    </dxf>
    <dxf>
      <fill>
        <patternFill>
          <bgColor rgb="FF0070C0"/>
        </patternFill>
      </fill>
    </dxf>
    <dxf>
      <fill>
        <patternFill>
          <bgColor rgb="FF0070C0"/>
        </patternFill>
      </fill>
    </dxf>
    <dxf>
      <font>
        <name val="Aptos Display"/>
        <scheme val="major"/>
      </font>
    </dxf>
    <dxf>
      <font>
        <name val="Aptos Display"/>
        <scheme val="major"/>
      </font>
    </dxf>
    <dxf>
      <numFmt numFmtId="165" formatCode="_ &quot;₹&quot;\ * #,##0_ ;_ &quot;₹&quot;\ * \-#,##0_ ;_ &quot;₹&quot;\ * &quot;-&quot;??_ ;_ @_ "/>
    </dxf>
    <dxf>
      <numFmt numFmtId="165" formatCode="_ &quot;₹&quot;\ * #,##0_ ;_ &quot;₹&quot;\ * \-#,##0_ ;_ &quot;₹&quot;\ * &quot;-&quot;??_ ;_ @_ "/>
    </dxf>
    <dxf>
      <numFmt numFmtId="14" formatCode="0.00%"/>
    </dxf>
    <dxf>
      <numFmt numFmtId="13" formatCode="0%"/>
    </dxf>
    <dxf>
      <numFmt numFmtId="164" formatCode="_ [$₹-4009]\ * #,##0_ ;_ [$₹-4009]\ * \-#,##0_ ;_ [$₹-4009]\ * &quot;-&quot;??_ ;_ @_ "/>
    </dxf>
    <dxf>
      <numFmt numFmtId="13" formatCode="0%"/>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5" formatCode="_ &quot;₹&quot;\ * #,##0_ ;_ &quot;₹&quot;\ * \-#,##0_ ;_ &quot;₹&quot;\ * &quot;-&quot;??_ ;_ @_ "/>
    </dxf>
    <dxf>
      <numFmt numFmtId="165" formatCode="_ &quot;₹&quot;\ * #,##0_ ;_ &quot;₹&quot;\ * \-#,##0_ ;_ &quot;₹&quot;\ * &quot;-&quot;??_ ;_ @_ "/>
    </dxf>
    <dxf>
      <font>
        <sz val="16"/>
      </font>
    </dxf>
    <dxf>
      <font>
        <sz val="16"/>
      </font>
    </dxf>
    <dxf>
      <font>
        <sz val="16"/>
      </font>
    </dxf>
    <dxf>
      <font>
        <sz val="16"/>
      </font>
    </dxf>
    <dxf>
      <font>
        <sz val="16"/>
      </font>
    </dxf>
    <dxf>
      <font>
        <sz val="16"/>
      </font>
    </dxf>
    <dxf>
      <fill>
        <patternFill patternType="solid">
          <bgColor rgb="FFBB2C2C"/>
        </patternFill>
      </fill>
    </dxf>
    <dxf>
      <fill>
        <patternFill patternType="solid">
          <bgColor rgb="FFBB2C2C"/>
        </patternFill>
      </fill>
    </dxf>
    <dxf>
      <alignment vertical="center"/>
    </dxf>
    <dxf>
      <alignment vertical="center"/>
    </dxf>
    <dxf>
      <alignment horizontal="center"/>
    </dxf>
    <dxf>
      <alignment horizontal="center"/>
    </dxf>
    <dxf>
      <fill>
        <patternFill patternType="solid">
          <bgColor rgb="FFBB2C2C"/>
        </patternFill>
      </fill>
    </dxf>
    <dxf>
      <alignment vertical="center"/>
    </dxf>
    <dxf>
      <alignment horizontal="center"/>
    </dxf>
    <dxf>
      <font>
        <b/>
      </font>
    </dxf>
    <dxf>
      <font>
        <b/>
      </font>
    </dxf>
    <dxf>
      <font>
        <b/>
      </font>
    </dxf>
    <dxf>
      <font>
        <b/>
      </font>
    </dxf>
    <dxf>
      <font>
        <b/>
      </font>
    </dxf>
    <dxf>
      <font>
        <b/>
      </font>
    </dxf>
    <dxf>
      <font>
        <color theme="0"/>
      </font>
    </dxf>
    <dxf>
      <numFmt numFmtId="14" formatCode="0.00%"/>
    </dxf>
    <dxf>
      <fill>
        <patternFill>
          <bgColor rgb="FF0070C0"/>
        </patternFill>
      </fill>
    </dxf>
    <dxf>
      <fill>
        <patternFill>
          <bgColor rgb="FF0070C0"/>
        </patternFill>
      </fill>
    </dxf>
    <dxf>
      <fill>
        <patternFill>
          <bgColor rgb="FF0070C0"/>
        </patternFill>
      </fill>
    </dxf>
    <dxf>
      <fill>
        <patternFill>
          <bgColor rgb="FF0070C0"/>
        </patternFill>
      </fill>
    </dxf>
    <dxf>
      <font>
        <name val="Aptos Display"/>
        <scheme val="major"/>
      </font>
    </dxf>
    <dxf>
      <font>
        <name val="Aptos Display"/>
        <scheme val="major"/>
      </font>
    </dxf>
    <dxf>
      <numFmt numFmtId="165" formatCode="_ &quot;₹&quot;\ * #,##0_ ;_ &quot;₹&quot;\ * \-#,##0_ ;_ &quot;₹&quot;\ * &quot;-&quot;??_ ;_ @_ "/>
    </dxf>
    <dxf>
      <numFmt numFmtId="165" formatCode="_ &quot;₹&quot;\ * #,##0_ ;_ &quot;₹&quot;\ * \-#,##0_ ;_ &quot;₹&quot;\ * &quot;-&quot;??_ ;_ @_ "/>
    </dxf>
    <dxf>
      <numFmt numFmtId="14" formatCode="0.00%"/>
    </dxf>
    <dxf>
      <numFmt numFmtId="13" formatCode="0%"/>
    </dxf>
    <dxf>
      <numFmt numFmtId="164" formatCode="_ [$₹-4009]\ * #,##0_ ;_ [$₹-4009]\ * \-#,##0_ ;_ [$₹-4009]\ * &quot;-&quot;??_ ;_ @_ "/>
    </dxf>
    <dxf>
      <numFmt numFmtId="13" formatCode="0%"/>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5" formatCode="_ &quot;₹&quot;\ * #,##0_ ;_ &quot;₹&quot;\ * \-#,##0_ ;_ &quot;₹&quot;\ * &quot;-&quot;??_ ;_ @_ "/>
    </dxf>
    <dxf>
      <numFmt numFmtId="165" formatCode="_ &quot;₹&quot;\ * #,##0_ ;_ &quot;₹&quot;\ * \-#,##0_ ;_ &quot;₹&quot;\ * &quot;-&quot;??_ ;_ @_ "/>
    </dxf>
    <dxf>
      <font>
        <sz val="16"/>
      </font>
    </dxf>
    <dxf>
      <font>
        <sz val="16"/>
      </font>
    </dxf>
    <dxf>
      <font>
        <sz val="16"/>
      </font>
    </dxf>
    <dxf>
      <font>
        <sz val="16"/>
      </font>
    </dxf>
    <dxf>
      <font>
        <sz val="16"/>
      </font>
    </dxf>
    <dxf>
      <font>
        <sz val="16"/>
      </font>
    </dxf>
    <dxf>
      <fill>
        <patternFill patternType="solid">
          <bgColor rgb="FFBB2C2C"/>
        </patternFill>
      </fill>
    </dxf>
    <dxf>
      <fill>
        <patternFill patternType="solid">
          <bgColor rgb="FFBB2C2C"/>
        </patternFill>
      </fill>
    </dxf>
    <dxf>
      <alignment vertical="center"/>
    </dxf>
    <dxf>
      <alignment vertical="center"/>
    </dxf>
    <dxf>
      <alignment horizontal="center"/>
    </dxf>
    <dxf>
      <alignment horizontal="center"/>
    </dxf>
    <dxf>
      <fill>
        <patternFill patternType="solid">
          <bgColor rgb="FFBB2C2C"/>
        </patternFill>
      </fill>
    </dxf>
    <dxf>
      <alignment vertical="center"/>
    </dxf>
    <dxf>
      <alignment horizontal="center"/>
    </dxf>
    <dxf>
      <font>
        <b/>
      </font>
    </dxf>
    <dxf>
      <font>
        <b/>
      </font>
    </dxf>
    <dxf>
      <font>
        <b/>
      </font>
    </dxf>
    <dxf>
      <font>
        <b/>
      </font>
    </dxf>
    <dxf>
      <font>
        <b/>
      </font>
    </dxf>
    <dxf>
      <font>
        <b/>
      </font>
    </dxf>
    <dxf>
      <font>
        <color theme="0"/>
      </font>
    </dxf>
    <dxf>
      <numFmt numFmtId="14" formatCode="0.00%"/>
    </dxf>
    <dxf>
      <fill>
        <patternFill>
          <bgColor rgb="FF0070C0"/>
        </patternFill>
      </fill>
    </dxf>
    <dxf>
      <fill>
        <patternFill>
          <bgColor rgb="FF0070C0"/>
        </patternFill>
      </fill>
    </dxf>
    <dxf>
      <fill>
        <patternFill>
          <bgColor rgb="FF0070C0"/>
        </patternFill>
      </fill>
    </dxf>
    <dxf>
      <fill>
        <patternFill>
          <bgColor rgb="FF0070C0"/>
        </patternFill>
      </fill>
    </dxf>
    <dxf>
      <font>
        <name val="Aptos Display"/>
        <scheme val="major"/>
      </font>
    </dxf>
    <dxf>
      <font>
        <name val="Aptos Display"/>
        <scheme val="major"/>
      </font>
    </dxf>
    <dxf>
      <numFmt numFmtId="165" formatCode="_ &quot;₹&quot;\ * #,##0_ ;_ &quot;₹&quot;\ * \-#,##0_ ;_ &quot;₹&quot;\ * &quot;-&quot;??_ ;_ @_ "/>
    </dxf>
    <dxf>
      <numFmt numFmtId="165" formatCode="_ &quot;₹&quot;\ * #,##0_ ;_ &quot;₹&quot;\ * \-#,##0_ ;_ &quot;₹&quot;\ * &quot;-&quot;??_ ;_ @_ "/>
    </dxf>
    <dxf>
      <numFmt numFmtId="14" formatCode="0.00%"/>
    </dxf>
    <dxf>
      <numFmt numFmtId="13" formatCode="0%"/>
    </dxf>
    <dxf>
      <numFmt numFmtId="164" formatCode="_ [$₹-4009]\ * #,##0_ ;_ [$₹-4009]\ * \-#,##0_ ;_ [$₹-4009]\ * &quot;-&quot;??_ ;_ @_ "/>
    </dxf>
    <dxf>
      <numFmt numFmtId="13" formatCode="0%"/>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5" formatCode="_ &quot;₹&quot;\ * #,##0_ ;_ &quot;₹&quot;\ * \-#,##0_ ;_ &quot;₹&quot;\ * &quot;-&quot;??_ ;_ @_ "/>
    </dxf>
    <dxf>
      <numFmt numFmtId="165" formatCode="_ &quot;₹&quot;\ * #,##0_ ;_ &quot;₹&quot;\ * \-#,##0_ ;_ &quot;₹&quot;\ * &quot;-&quot;??_ ;_ @_ "/>
    </dxf>
    <dxf>
      <font>
        <sz val="16"/>
      </font>
    </dxf>
    <dxf>
      <font>
        <sz val="16"/>
      </font>
    </dxf>
    <dxf>
      <font>
        <sz val="16"/>
      </font>
    </dxf>
    <dxf>
      <font>
        <sz val="16"/>
      </font>
    </dxf>
    <dxf>
      <font>
        <sz val="16"/>
      </font>
    </dxf>
    <dxf>
      <font>
        <sz val="16"/>
      </font>
    </dxf>
    <dxf>
      <fill>
        <patternFill patternType="solid">
          <bgColor rgb="FFBB2C2C"/>
        </patternFill>
      </fill>
    </dxf>
    <dxf>
      <fill>
        <patternFill patternType="solid">
          <bgColor rgb="FFBB2C2C"/>
        </patternFill>
      </fill>
    </dxf>
    <dxf>
      <alignment vertical="center"/>
    </dxf>
    <dxf>
      <alignment vertical="center"/>
    </dxf>
    <dxf>
      <alignment horizontal="center"/>
    </dxf>
    <dxf>
      <alignment horizontal="center"/>
    </dxf>
    <dxf>
      <fill>
        <patternFill patternType="solid">
          <bgColor rgb="FFBB2C2C"/>
        </patternFill>
      </fill>
    </dxf>
    <dxf>
      <alignment vertical="center"/>
    </dxf>
    <dxf>
      <alignment horizontal="center"/>
    </dxf>
    <dxf>
      <font>
        <b/>
      </font>
    </dxf>
    <dxf>
      <font>
        <b/>
      </font>
    </dxf>
    <dxf>
      <font>
        <b/>
      </font>
    </dxf>
    <dxf>
      <font>
        <b/>
      </font>
    </dxf>
    <dxf>
      <font>
        <b/>
      </font>
    </dxf>
    <dxf>
      <font>
        <b/>
      </font>
    </dxf>
    <dxf>
      <font>
        <color theme="0"/>
      </font>
    </dxf>
    <dxf>
      <numFmt numFmtId="14" formatCode="0.00%"/>
    </dxf>
    <dxf>
      <fill>
        <patternFill>
          <bgColor rgb="FF0070C0"/>
        </patternFill>
      </fill>
    </dxf>
    <dxf>
      <fill>
        <patternFill>
          <bgColor rgb="FF0070C0"/>
        </patternFill>
      </fill>
    </dxf>
    <dxf>
      <fill>
        <patternFill>
          <bgColor rgb="FF0070C0"/>
        </patternFill>
      </fill>
    </dxf>
    <dxf>
      <fill>
        <patternFill>
          <bgColor rgb="FF0070C0"/>
        </patternFill>
      </fill>
    </dxf>
    <dxf>
      <font>
        <name val="Aptos Display"/>
        <scheme val="major"/>
      </font>
    </dxf>
    <dxf>
      <font>
        <name val="Aptos Display"/>
        <scheme val="major"/>
      </font>
    </dxf>
    <dxf>
      <font>
        <name val="Aptos Display"/>
        <scheme val="major"/>
      </font>
    </dxf>
    <dxf>
      <font>
        <name val="Aptos Display"/>
        <scheme val="major"/>
      </font>
    </dxf>
    <dxf>
      <fill>
        <patternFill>
          <bgColor rgb="FF0070C0"/>
        </patternFill>
      </fill>
    </dxf>
    <dxf>
      <fill>
        <patternFill>
          <bgColor rgb="FF0070C0"/>
        </patternFill>
      </fill>
    </dxf>
    <dxf>
      <fill>
        <patternFill>
          <bgColor rgb="FF0070C0"/>
        </patternFill>
      </fill>
    </dxf>
    <dxf>
      <fill>
        <patternFill>
          <bgColor rgb="FF0070C0"/>
        </patternFill>
      </fill>
    </dxf>
    <dxf>
      <numFmt numFmtId="14" formatCode="0.00%"/>
    </dxf>
    <dxf>
      <font>
        <color theme="0"/>
      </font>
    </dxf>
    <dxf>
      <font>
        <b/>
      </font>
    </dxf>
    <dxf>
      <font>
        <b/>
      </font>
    </dxf>
    <dxf>
      <font>
        <b/>
      </font>
    </dxf>
    <dxf>
      <font>
        <b/>
      </font>
    </dxf>
    <dxf>
      <font>
        <b/>
      </font>
    </dxf>
    <dxf>
      <font>
        <b/>
      </font>
    </dxf>
    <dxf>
      <alignment horizontal="center"/>
    </dxf>
    <dxf>
      <alignment vertical="center"/>
    </dxf>
    <dxf>
      <fill>
        <patternFill patternType="solid">
          <bgColor rgb="FFBB2C2C"/>
        </patternFill>
      </fill>
    </dxf>
    <dxf>
      <alignment horizontal="center"/>
    </dxf>
    <dxf>
      <alignment horizontal="center"/>
    </dxf>
    <dxf>
      <alignment vertical="center"/>
    </dxf>
    <dxf>
      <alignment vertical="center"/>
    </dxf>
    <dxf>
      <fill>
        <patternFill patternType="solid">
          <bgColor rgb="FFBB2C2C"/>
        </patternFill>
      </fill>
    </dxf>
    <dxf>
      <fill>
        <patternFill patternType="solid">
          <bgColor rgb="FFBB2C2C"/>
        </patternFill>
      </fill>
    </dxf>
    <dxf>
      <font>
        <sz val="16"/>
      </font>
    </dxf>
    <dxf>
      <font>
        <sz val="16"/>
      </font>
    </dxf>
    <dxf>
      <font>
        <sz val="16"/>
      </font>
    </dxf>
    <dxf>
      <font>
        <sz val="16"/>
      </font>
    </dxf>
    <dxf>
      <font>
        <sz val="16"/>
      </font>
    </dxf>
    <dxf>
      <font>
        <sz val="16"/>
      </font>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3" formatCode="0%"/>
    </dxf>
    <dxf>
      <numFmt numFmtId="13" formatCode="0%"/>
    </dxf>
    <dxf>
      <numFmt numFmtId="165" formatCode="_ &quot;₹&quot;\ * #,##0_ ;_ &quot;₹&quot;\ * \-#,##0_ ;_ &quot;₹&quot;\ * &quot;-&quot;??_ ;_ @_ "/>
    </dxf>
    <dxf>
      <numFmt numFmtId="14" formatCode="0.00%"/>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4" formatCode="_ [$₹-4009]\ * #,##0_ ;_ [$₹-4009]\ * \-#,##0_ ;_ [$₹-4009]\ * &quot;-&quot;??_ ;_ @_ "/>
    </dxf>
    <dxf>
      <numFmt numFmtId="13" formatCode="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9533A"/>
      <color rgb="FFBB2C2C"/>
      <color rgb="FF1E3A8A"/>
      <color rgb="FF01564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Dashboard.xlsx]Analysis!PivotTable2</c:name>
    <c:fmtId val="0"/>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Analysis!$C$15</c:f>
              <c:strCache>
                <c:ptCount val="1"/>
                <c:pt idx="0">
                  <c:v> Revenue</c:v>
                </c:pt>
              </c:strCache>
            </c:strRef>
          </c:tx>
          <c:spPr>
            <a:solidFill>
              <a:schemeClr val="accent4">
                <a:lumMod val="75000"/>
              </a:schemeClr>
            </a:solidFill>
            <a:ln>
              <a:noFill/>
            </a:ln>
            <a:effectLst/>
          </c:spPr>
          <c:invertIfNegative val="0"/>
          <c:cat>
            <c:strRef>
              <c:f>Analysis!$B$16:$B$22</c:f>
              <c:strCache>
                <c:ptCount val="6"/>
                <c:pt idx="0">
                  <c:v>Mumbai</c:v>
                </c:pt>
                <c:pt idx="1">
                  <c:v>Pune</c:v>
                </c:pt>
                <c:pt idx="2">
                  <c:v>Kolkata</c:v>
                </c:pt>
                <c:pt idx="3">
                  <c:v>Bengaluru</c:v>
                </c:pt>
                <c:pt idx="4">
                  <c:v>Hyderabad</c:v>
                </c:pt>
                <c:pt idx="5">
                  <c:v>Delhi</c:v>
                </c:pt>
              </c:strCache>
            </c:strRef>
          </c:cat>
          <c:val>
            <c:numRef>
              <c:f>Analysis!$C$16:$C$22</c:f>
              <c:numCache>
                <c:formatCode>_ [$₹-4009]\ * #,##0_ ;_ [$₹-4009]\ * \-#,##0_ ;_ [$₹-4009]\ * "-"??_ ;_ @_ </c:formatCode>
                <c:ptCount val="6"/>
                <c:pt idx="0">
                  <c:v>1496104.0800000005</c:v>
                </c:pt>
                <c:pt idx="1">
                  <c:v>1350020.42</c:v>
                </c:pt>
                <c:pt idx="2">
                  <c:v>1170688.0749999995</c:v>
                </c:pt>
                <c:pt idx="3">
                  <c:v>1160775.7</c:v>
                </c:pt>
                <c:pt idx="4">
                  <c:v>1112206.1200000001</c:v>
                </c:pt>
                <c:pt idx="5">
                  <c:v>1092249.5299999998</c:v>
                </c:pt>
              </c:numCache>
            </c:numRef>
          </c:val>
          <c:extLst>
            <c:ext xmlns:c16="http://schemas.microsoft.com/office/drawing/2014/chart" uri="{C3380CC4-5D6E-409C-BE32-E72D297353CC}">
              <c16:uniqueId val="{00000000-1BDA-46C8-B8EF-5C917032A12D}"/>
            </c:ext>
          </c:extLst>
        </c:ser>
        <c:ser>
          <c:idx val="1"/>
          <c:order val="1"/>
          <c:tx>
            <c:strRef>
              <c:f>Analysis!$D$15</c:f>
              <c:strCache>
                <c:ptCount val="1"/>
                <c:pt idx="0">
                  <c:v> Profit</c:v>
                </c:pt>
              </c:strCache>
            </c:strRef>
          </c:tx>
          <c:spPr>
            <a:solidFill>
              <a:schemeClr val="accent2"/>
            </a:solidFill>
            <a:ln>
              <a:noFill/>
            </a:ln>
            <a:effectLst/>
          </c:spPr>
          <c:invertIfNegative val="0"/>
          <c:cat>
            <c:strRef>
              <c:f>Analysis!$B$16:$B$22</c:f>
              <c:strCache>
                <c:ptCount val="6"/>
                <c:pt idx="0">
                  <c:v>Mumbai</c:v>
                </c:pt>
                <c:pt idx="1">
                  <c:v>Pune</c:v>
                </c:pt>
                <c:pt idx="2">
                  <c:v>Kolkata</c:v>
                </c:pt>
                <c:pt idx="3">
                  <c:v>Bengaluru</c:v>
                </c:pt>
                <c:pt idx="4">
                  <c:v>Hyderabad</c:v>
                </c:pt>
                <c:pt idx="5">
                  <c:v>Delhi</c:v>
                </c:pt>
              </c:strCache>
            </c:strRef>
          </c:cat>
          <c:val>
            <c:numRef>
              <c:f>Analysis!$D$16:$D$22</c:f>
              <c:numCache>
                <c:formatCode>_ [$₹-4009]\ * #,##0_ ;_ [$₹-4009]\ * \-#,##0_ ;_ [$₹-4009]\ * "-"??_ ;_ @_ </c:formatCode>
                <c:ptCount val="6"/>
                <c:pt idx="0">
                  <c:v>147349.83000000007</c:v>
                </c:pt>
                <c:pt idx="1">
                  <c:v>102767.3</c:v>
                </c:pt>
                <c:pt idx="2">
                  <c:v>105297.25</c:v>
                </c:pt>
                <c:pt idx="3">
                  <c:v>105648.19</c:v>
                </c:pt>
                <c:pt idx="4">
                  <c:v>107847.95999999999</c:v>
                </c:pt>
                <c:pt idx="5">
                  <c:v>96974.489999999991</c:v>
                </c:pt>
              </c:numCache>
            </c:numRef>
          </c:val>
          <c:extLst>
            <c:ext xmlns:c16="http://schemas.microsoft.com/office/drawing/2014/chart" uri="{C3380CC4-5D6E-409C-BE32-E72D297353CC}">
              <c16:uniqueId val="{00000001-1BDA-46C8-B8EF-5C917032A12D}"/>
            </c:ext>
          </c:extLst>
        </c:ser>
        <c:dLbls>
          <c:showLegendKey val="0"/>
          <c:showVal val="0"/>
          <c:showCatName val="0"/>
          <c:showSerName val="0"/>
          <c:showPercent val="0"/>
          <c:showBubbleSize val="0"/>
        </c:dLbls>
        <c:gapWidth val="182"/>
        <c:axId val="312844240"/>
        <c:axId val="118224464"/>
      </c:barChart>
      <c:catAx>
        <c:axId val="31284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24464"/>
        <c:crosses val="autoZero"/>
        <c:auto val="1"/>
        <c:lblAlgn val="ctr"/>
        <c:lblOffset val="100"/>
        <c:noMultiLvlLbl val="0"/>
      </c:catAx>
      <c:valAx>
        <c:axId val="118224464"/>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4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Analysis!$C$34</c:f>
              <c:strCache>
                <c:ptCount val="1"/>
                <c:pt idx="0">
                  <c:v>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Analysis!$C$35:$C$47</c:f>
              <c:numCache>
                <c:formatCode>_ [$₹-4009]\ * #,##0_ ;_ [$₹-4009]\ * \-#,##0_ ;_ [$₹-4009]\ * "-"??_ ;_ @_ </c:formatCode>
                <c:ptCount val="12"/>
                <c:pt idx="0">
                  <c:v>675913.71000000008</c:v>
                </c:pt>
                <c:pt idx="1">
                  <c:v>523293.67</c:v>
                </c:pt>
                <c:pt idx="2">
                  <c:v>621844.62500000012</c:v>
                </c:pt>
                <c:pt idx="3">
                  <c:v>534609.54499999993</c:v>
                </c:pt>
                <c:pt idx="4">
                  <c:v>667950.21000000008</c:v>
                </c:pt>
                <c:pt idx="5">
                  <c:v>708241.88500000013</c:v>
                </c:pt>
                <c:pt idx="6">
                  <c:v>616093.76500000001</c:v>
                </c:pt>
                <c:pt idx="7">
                  <c:v>481893.42999999993</c:v>
                </c:pt>
                <c:pt idx="8">
                  <c:v>604394.58499999996</c:v>
                </c:pt>
                <c:pt idx="9">
                  <c:v>670723.49</c:v>
                </c:pt>
                <c:pt idx="10">
                  <c:v>735811.29999999993</c:v>
                </c:pt>
                <c:pt idx="11">
                  <c:v>541273.71</c:v>
                </c:pt>
              </c:numCache>
            </c:numRef>
          </c:val>
          <c:smooth val="0"/>
          <c:extLst>
            <c:ext xmlns:c16="http://schemas.microsoft.com/office/drawing/2014/chart" uri="{C3380CC4-5D6E-409C-BE32-E72D297353CC}">
              <c16:uniqueId val="{00000000-05E2-4230-B4F5-4F4DECCEB25E}"/>
            </c:ext>
          </c:extLst>
        </c:ser>
        <c:ser>
          <c:idx val="1"/>
          <c:order val="1"/>
          <c:tx>
            <c:strRef>
              <c:f>Analysis!$D$34</c:f>
              <c:strCache>
                <c:ptCount val="1"/>
                <c:pt idx="0">
                  <c:v>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Analysis!$D$35:$D$47</c:f>
              <c:numCache>
                <c:formatCode>_ [$₹-4009]\ * #,##0_ ;_ [$₹-4009]\ * \-#,##0_ ;_ [$₹-4009]\ * "-"??_ ;_ @_ </c:formatCode>
                <c:ptCount val="12"/>
                <c:pt idx="0">
                  <c:v>48539.310000000005</c:v>
                </c:pt>
                <c:pt idx="1">
                  <c:v>52580.6</c:v>
                </c:pt>
                <c:pt idx="2">
                  <c:v>57165.229999999974</c:v>
                </c:pt>
                <c:pt idx="3">
                  <c:v>47384.710000000021</c:v>
                </c:pt>
                <c:pt idx="4">
                  <c:v>53019.5</c:v>
                </c:pt>
                <c:pt idx="5">
                  <c:v>65613.459999999992</c:v>
                </c:pt>
                <c:pt idx="6">
                  <c:v>44002.219999999994</c:v>
                </c:pt>
                <c:pt idx="7">
                  <c:v>45502.939999999995</c:v>
                </c:pt>
                <c:pt idx="8">
                  <c:v>58926.119999999995</c:v>
                </c:pt>
                <c:pt idx="9">
                  <c:v>61830.709999999992</c:v>
                </c:pt>
                <c:pt idx="10">
                  <c:v>73500.67</c:v>
                </c:pt>
                <c:pt idx="11">
                  <c:v>57819.55</c:v>
                </c:pt>
              </c:numCache>
            </c:numRef>
          </c:val>
          <c:smooth val="0"/>
          <c:extLst>
            <c:ext xmlns:c16="http://schemas.microsoft.com/office/drawing/2014/chart" uri="{C3380CC4-5D6E-409C-BE32-E72D297353CC}">
              <c16:uniqueId val="{00000000-06E1-4500-93F4-5193E73A76A2}"/>
            </c:ext>
          </c:extLst>
        </c:ser>
        <c:dLbls>
          <c:showLegendKey val="0"/>
          <c:showVal val="0"/>
          <c:showCatName val="0"/>
          <c:showSerName val="0"/>
          <c:showPercent val="0"/>
          <c:showBubbleSize val="0"/>
        </c:dLbls>
        <c:marker val="1"/>
        <c:smooth val="0"/>
        <c:axId val="299786944"/>
        <c:axId val="313666064"/>
      </c:lineChart>
      <c:catAx>
        <c:axId val="2997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66064"/>
        <c:crosses val="autoZero"/>
        <c:auto val="1"/>
        <c:lblAlgn val="ctr"/>
        <c:lblOffset val="100"/>
        <c:noMultiLvlLbl val="0"/>
      </c:catAx>
      <c:valAx>
        <c:axId val="31366606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8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Analysis!$Q$34</c:f>
              <c:strCache>
                <c:ptCount val="1"/>
                <c:pt idx="0">
                  <c:v> Revenue</c:v>
                </c:pt>
              </c:strCache>
            </c:strRef>
          </c:tx>
          <c:spPr>
            <a:solidFill>
              <a:schemeClr val="accent1"/>
            </a:solidFill>
            <a:ln>
              <a:noFill/>
            </a:ln>
            <a:effectLst/>
          </c:spPr>
          <c:invertIfNegative val="0"/>
          <c:cat>
            <c:strRef>
              <c:f>Analysis!$P$35:$P$40</c:f>
              <c:strCache>
                <c:ptCount val="5"/>
                <c:pt idx="0">
                  <c:v>0-10%</c:v>
                </c:pt>
                <c:pt idx="1">
                  <c:v>10%-20%</c:v>
                </c:pt>
                <c:pt idx="2">
                  <c:v>20%-30%</c:v>
                </c:pt>
                <c:pt idx="3">
                  <c:v>30%-50%</c:v>
                </c:pt>
                <c:pt idx="4">
                  <c:v>50%+</c:v>
                </c:pt>
              </c:strCache>
            </c:strRef>
          </c:cat>
          <c:val>
            <c:numRef>
              <c:f>Analysis!$Q$35:$Q$40</c:f>
              <c:numCache>
                <c:formatCode>_ "₹"\ * #,##0_ ;_ "₹"\ * \-#,##0_ ;_ "₹"\ * "-"??_ ;_ @_ </c:formatCode>
                <c:ptCount val="5"/>
                <c:pt idx="0">
                  <c:v>5365051.7799999947</c:v>
                </c:pt>
                <c:pt idx="1">
                  <c:v>206515.80499999996</c:v>
                </c:pt>
                <c:pt idx="2">
                  <c:v>308889.26500000001</c:v>
                </c:pt>
                <c:pt idx="3">
                  <c:v>528419.09499999997</c:v>
                </c:pt>
                <c:pt idx="4">
                  <c:v>973167.97999999986</c:v>
                </c:pt>
              </c:numCache>
            </c:numRef>
          </c:val>
          <c:extLst>
            <c:ext xmlns:c16="http://schemas.microsoft.com/office/drawing/2014/chart" uri="{C3380CC4-5D6E-409C-BE32-E72D297353CC}">
              <c16:uniqueId val="{00000000-6038-4FFE-8FFF-07B2CA311D05}"/>
            </c:ext>
          </c:extLst>
        </c:ser>
        <c:dLbls>
          <c:showLegendKey val="0"/>
          <c:showVal val="0"/>
          <c:showCatName val="0"/>
          <c:showSerName val="0"/>
          <c:showPercent val="0"/>
          <c:showBubbleSize val="0"/>
        </c:dLbls>
        <c:gapWidth val="219"/>
        <c:axId val="101437312"/>
        <c:axId val="101434432"/>
      </c:barChart>
      <c:lineChart>
        <c:grouping val="standard"/>
        <c:varyColors val="0"/>
        <c:ser>
          <c:idx val="1"/>
          <c:order val="1"/>
          <c:tx>
            <c:strRef>
              <c:f>Analysis!$R$34</c:f>
              <c:strCache>
                <c:ptCount val="1"/>
                <c:pt idx="0">
                  <c:v> Profit Margin</c:v>
                </c:pt>
              </c:strCache>
            </c:strRef>
          </c:tx>
          <c:spPr>
            <a:ln w="28575" cap="rnd">
              <a:solidFill>
                <a:schemeClr val="accent2"/>
              </a:solidFill>
              <a:round/>
            </a:ln>
            <a:effectLst/>
          </c:spPr>
          <c:marker>
            <c:symbol val="none"/>
          </c:marker>
          <c:cat>
            <c:strRef>
              <c:f>Analysis!$P$35:$P$40</c:f>
              <c:strCache>
                <c:ptCount val="5"/>
                <c:pt idx="0">
                  <c:v>0-10%</c:v>
                </c:pt>
                <c:pt idx="1">
                  <c:v>10%-20%</c:v>
                </c:pt>
                <c:pt idx="2">
                  <c:v>20%-30%</c:v>
                </c:pt>
                <c:pt idx="3">
                  <c:v>30%-50%</c:v>
                </c:pt>
                <c:pt idx="4">
                  <c:v>50%+</c:v>
                </c:pt>
              </c:strCache>
            </c:strRef>
          </c:cat>
          <c:val>
            <c:numRef>
              <c:f>Analysis!$R$35:$R$40</c:f>
              <c:numCache>
                <c:formatCode>0%</c:formatCode>
                <c:ptCount val="5"/>
                <c:pt idx="0">
                  <c:v>9.0302090243759056E-2</c:v>
                </c:pt>
                <c:pt idx="1">
                  <c:v>0.14054846794897854</c:v>
                </c:pt>
                <c:pt idx="2">
                  <c:v>0.10431621830561189</c:v>
                </c:pt>
                <c:pt idx="3">
                  <c:v>0.11038456133005567</c:v>
                </c:pt>
                <c:pt idx="4">
                  <c:v>6.3537520007594175E-2</c:v>
                </c:pt>
              </c:numCache>
            </c:numRef>
          </c:val>
          <c:smooth val="0"/>
          <c:extLst>
            <c:ext xmlns:c16="http://schemas.microsoft.com/office/drawing/2014/chart" uri="{C3380CC4-5D6E-409C-BE32-E72D297353CC}">
              <c16:uniqueId val="{00000001-6038-4FFE-8FFF-07B2CA311D05}"/>
            </c:ext>
          </c:extLst>
        </c:ser>
        <c:dLbls>
          <c:showLegendKey val="0"/>
          <c:showVal val="0"/>
          <c:showCatName val="0"/>
          <c:showSerName val="0"/>
          <c:showPercent val="0"/>
          <c:showBubbleSize val="0"/>
        </c:dLbls>
        <c:marker val="1"/>
        <c:smooth val="0"/>
        <c:axId val="1460978464"/>
        <c:axId val="1460994784"/>
      </c:lineChart>
      <c:catAx>
        <c:axId val="1014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4432"/>
        <c:crosses val="autoZero"/>
        <c:auto val="1"/>
        <c:lblAlgn val="ctr"/>
        <c:lblOffset val="100"/>
        <c:noMultiLvlLbl val="0"/>
      </c:catAx>
      <c:valAx>
        <c:axId val="101434432"/>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7312"/>
        <c:crosses val="autoZero"/>
        <c:crossBetween val="between"/>
      </c:valAx>
      <c:valAx>
        <c:axId val="14609947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978464"/>
        <c:crosses val="max"/>
        <c:crossBetween val="between"/>
      </c:valAx>
      <c:catAx>
        <c:axId val="1460978464"/>
        <c:scaling>
          <c:orientation val="minMax"/>
        </c:scaling>
        <c:delete val="1"/>
        <c:axPos val="b"/>
        <c:numFmt formatCode="General" sourceLinked="1"/>
        <c:majorTickMark val="out"/>
        <c:minorTickMark val="none"/>
        <c:tickLblPos val="nextTo"/>
        <c:crossAx val="14609947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Products Over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Analysis!$I$52</c:f>
              <c:strCache>
                <c:ptCount val="1"/>
                <c:pt idx="0">
                  <c:v>Total</c:v>
                </c:pt>
              </c:strCache>
            </c:strRef>
          </c:tx>
          <c:spPr>
            <a:solidFill>
              <a:schemeClr val="accent1"/>
            </a:solidFill>
            <a:ln>
              <a:noFill/>
            </a:ln>
            <a:effectLst/>
          </c:spPr>
          <c:invertIfNegative val="0"/>
          <c:cat>
            <c:strRef>
              <c:f>Analysis!$H$53:$H$58</c:f>
              <c:strCache>
                <c:ptCount val="5"/>
                <c:pt idx="0">
                  <c:v>Premier III</c:v>
                </c:pt>
                <c:pt idx="1">
                  <c:v>Blazer Mid</c:v>
                </c:pt>
                <c:pt idx="2">
                  <c:v>Air Zoom</c:v>
                </c:pt>
                <c:pt idx="3">
                  <c:v>Free RN</c:v>
                </c:pt>
                <c:pt idx="4">
                  <c:v>Pegasus Turbo</c:v>
                </c:pt>
              </c:strCache>
            </c:strRef>
          </c:cat>
          <c:val>
            <c:numRef>
              <c:f>Analysis!$I$53:$I$58</c:f>
              <c:numCache>
                <c:formatCode>0%</c:formatCode>
                <c:ptCount val="5"/>
                <c:pt idx="0">
                  <c:v>0.14645417966681656</c:v>
                </c:pt>
                <c:pt idx="1">
                  <c:v>0.13163693709452262</c:v>
                </c:pt>
                <c:pt idx="2">
                  <c:v>0.12192410573506635</c:v>
                </c:pt>
                <c:pt idx="3">
                  <c:v>0.12128825752148713</c:v>
                </c:pt>
                <c:pt idx="4">
                  <c:v>0.10865471858979846</c:v>
                </c:pt>
              </c:numCache>
            </c:numRef>
          </c:val>
          <c:extLst>
            <c:ext xmlns:c16="http://schemas.microsoft.com/office/drawing/2014/chart" uri="{C3380CC4-5D6E-409C-BE32-E72D297353CC}">
              <c16:uniqueId val="{00000000-85AA-419C-9797-5A10054128D9}"/>
            </c:ext>
          </c:extLst>
        </c:ser>
        <c:dLbls>
          <c:showLegendKey val="0"/>
          <c:showVal val="0"/>
          <c:showCatName val="0"/>
          <c:showSerName val="0"/>
          <c:showPercent val="0"/>
          <c:showBubbleSize val="0"/>
        </c:dLbls>
        <c:gapWidth val="182"/>
        <c:axId val="45364688"/>
        <c:axId val="45370928"/>
      </c:barChart>
      <c:catAx>
        <c:axId val="4536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0928"/>
        <c:crosses val="autoZero"/>
        <c:auto val="1"/>
        <c:lblAlgn val="ctr"/>
        <c:lblOffset val="100"/>
        <c:noMultiLvlLbl val="0"/>
      </c:catAx>
      <c:valAx>
        <c:axId val="453709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6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Analysis!$AC$47</c:f>
              <c:strCache>
                <c:ptCount val="1"/>
                <c:pt idx="0">
                  <c:v>Total</c:v>
                </c:pt>
              </c:strCache>
            </c:strRef>
          </c:tx>
          <c:spPr>
            <a:solidFill>
              <a:schemeClr val="accent1"/>
            </a:solidFill>
            <a:ln>
              <a:noFill/>
            </a:ln>
            <a:effectLst/>
          </c:spPr>
          <c:invertIfNegative val="0"/>
          <c:cat>
            <c:strRef>
              <c:f>Analysis!$AB$48:$AB$54</c:f>
              <c:strCache>
                <c:ptCount val="6"/>
                <c:pt idx="0">
                  <c:v>Mumbai</c:v>
                </c:pt>
                <c:pt idx="1">
                  <c:v>Hyderabad</c:v>
                </c:pt>
                <c:pt idx="2">
                  <c:v>Bengaluru</c:v>
                </c:pt>
                <c:pt idx="3">
                  <c:v>Kolkata</c:v>
                </c:pt>
                <c:pt idx="4">
                  <c:v>Delhi</c:v>
                </c:pt>
                <c:pt idx="5">
                  <c:v>Pune</c:v>
                </c:pt>
              </c:strCache>
            </c:strRef>
          </c:cat>
          <c:val>
            <c:numRef>
              <c:f>Analysis!$AC$48:$AC$54</c:f>
              <c:numCache>
                <c:formatCode>0%</c:formatCode>
                <c:ptCount val="6"/>
                <c:pt idx="0">
                  <c:v>9.8489023571140866E-2</c:v>
                </c:pt>
                <c:pt idx="1">
                  <c:v>9.6967601652830304E-2</c:v>
                </c:pt>
                <c:pt idx="2">
                  <c:v>9.1015163394616211E-2</c:v>
                </c:pt>
                <c:pt idx="3">
                  <c:v>8.9944753217034393E-2</c:v>
                </c:pt>
                <c:pt idx="4">
                  <c:v>8.8784190184087342E-2</c:v>
                </c:pt>
                <c:pt idx="5">
                  <c:v>7.6122774498477597E-2</c:v>
                </c:pt>
              </c:numCache>
            </c:numRef>
          </c:val>
          <c:extLst>
            <c:ext xmlns:c16="http://schemas.microsoft.com/office/drawing/2014/chart" uri="{C3380CC4-5D6E-409C-BE32-E72D297353CC}">
              <c16:uniqueId val="{00000000-D69E-460A-AEEA-870F897C583D}"/>
            </c:ext>
          </c:extLst>
        </c:ser>
        <c:dLbls>
          <c:showLegendKey val="0"/>
          <c:showVal val="0"/>
          <c:showCatName val="0"/>
          <c:showSerName val="0"/>
          <c:showPercent val="0"/>
          <c:showBubbleSize val="0"/>
        </c:dLbls>
        <c:gapWidth val="182"/>
        <c:axId val="1368356479"/>
        <c:axId val="463053279"/>
      </c:barChart>
      <c:catAx>
        <c:axId val="136835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053279"/>
        <c:crosses val="autoZero"/>
        <c:auto val="1"/>
        <c:lblAlgn val="ctr"/>
        <c:lblOffset val="100"/>
        <c:noMultiLvlLbl val="0"/>
      </c:catAx>
      <c:valAx>
        <c:axId val="4630532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5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Analysis!$X$46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F0-433A-8D30-30FC053D06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F0-433A-8D30-30FC053D06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F0-433A-8D30-30FC053D06E0}"/>
              </c:ext>
            </c:extLst>
          </c:dPt>
          <c:cat>
            <c:strRef>
              <c:f>Analysis!$W$47:$W$50</c:f>
              <c:strCache>
                <c:ptCount val="3"/>
                <c:pt idx="0">
                  <c:v>Kids</c:v>
                </c:pt>
                <c:pt idx="1">
                  <c:v>Men</c:v>
                </c:pt>
                <c:pt idx="2">
                  <c:v>Women</c:v>
                </c:pt>
              </c:strCache>
            </c:strRef>
          </c:cat>
          <c:val>
            <c:numRef>
              <c:f>Analysis!$X$47:$X$50</c:f>
              <c:numCache>
                <c:formatCode>0%</c:formatCode>
                <c:ptCount val="3"/>
                <c:pt idx="0">
                  <c:v>0.3781196189095829</c:v>
                </c:pt>
                <c:pt idx="1">
                  <c:v>0.31515712727701867</c:v>
                </c:pt>
                <c:pt idx="2">
                  <c:v>0.30672325381339854</c:v>
                </c:pt>
              </c:numCache>
            </c:numRef>
          </c:val>
          <c:extLst>
            <c:ext xmlns:c16="http://schemas.microsoft.com/office/drawing/2014/chart" uri="{C3380CC4-5D6E-409C-BE32-E72D297353CC}">
              <c16:uniqueId val="{00000000-B1C3-4D67-9AF4-05CB228E46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Dashboard.xlsx]Analysis!PivotTable2</c:name>
    <c:fmtId val="2"/>
  </c:pivotSource>
  <c:chart>
    <c:title>
      <c:tx>
        <c:rich>
          <a:bodyPr rot="0" spcFirstLastPara="1" vertOverflow="ellipsis" vert="horz" wrap="square" anchor="ctr" anchorCtr="1"/>
          <a:lstStyle/>
          <a:p>
            <a:pPr algn="ctr" rtl="0">
              <a:defRPr lang="en-IN" sz="1800" b="1" i="0" u="sng" strike="noStrike" kern="1200" spc="0" baseline="0">
                <a:solidFill>
                  <a:sysClr val="windowText" lastClr="000000">
                    <a:lumMod val="65000"/>
                    <a:lumOff val="35000"/>
                  </a:sysClr>
                </a:solidFill>
                <a:latin typeface="+mn-lt"/>
                <a:ea typeface="+mn-ea"/>
                <a:cs typeface="+mn-cs"/>
              </a:defRPr>
            </a:pPr>
            <a:r>
              <a:rPr lang="en-IN" sz="1800" b="1" i="0" u="sng" strike="noStrike" kern="1200" spc="0" baseline="0">
                <a:solidFill>
                  <a:sysClr val="windowText" lastClr="000000">
                    <a:lumMod val="65000"/>
                    <a:lumOff val="35000"/>
                  </a:sysClr>
                </a:solidFill>
                <a:latin typeface="+mn-lt"/>
                <a:ea typeface="+mn-ea"/>
                <a:cs typeface="+mn-cs"/>
              </a:rPr>
              <a:t>Revenue and Profit Over Region</a:t>
            </a:r>
          </a:p>
        </c:rich>
      </c:tx>
      <c:overlay val="0"/>
      <c:spPr>
        <a:noFill/>
        <a:ln>
          <a:noFill/>
        </a:ln>
        <a:effectLst/>
      </c:spPr>
      <c:txPr>
        <a:bodyPr rot="0" spcFirstLastPara="1" vertOverflow="ellipsis" vert="horz" wrap="square" anchor="ctr" anchorCtr="1"/>
        <a:lstStyle/>
        <a:p>
          <a:pPr algn="ctr" rtl="0">
            <a:defRPr lang="en-IN" sz="18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triang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7466759164218"/>
          <c:y val="0.11786962910250583"/>
          <c:w val="0.83806303451569497"/>
          <c:h val="0.78618777468092538"/>
        </c:manualLayout>
      </c:layout>
      <c:barChart>
        <c:barDir val="col"/>
        <c:grouping val="clustered"/>
        <c:varyColors val="0"/>
        <c:ser>
          <c:idx val="0"/>
          <c:order val="0"/>
          <c:tx>
            <c:strRef>
              <c:f>Analysis!$C$15</c:f>
              <c:strCache>
                <c:ptCount val="1"/>
                <c:pt idx="0">
                  <c:v> Revenue</c:v>
                </c:pt>
              </c:strCache>
            </c:strRef>
          </c:tx>
          <c:spPr>
            <a:solidFill>
              <a:srgbClr val="0070C0"/>
            </a:solidFill>
            <a:ln>
              <a:noFill/>
            </a:ln>
            <a:effectLst/>
          </c:spPr>
          <c:invertIfNegative val="0"/>
          <c:cat>
            <c:strRef>
              <c:f>Analysis!$B$16:$B$22</c:f>
              <c:strCache>
                <c:ptCount val="6"/>
                <c:pt idx="0">
                  <c:v>Mumbai</c:v>
                </c:pt>
                <c:pt idx="1">
                  <c:v>Pune</c:v>
                </c:pt>
                <c:pt idx="2">
                  <c:v>Kolkata</c:v>
                </c:pt>
                <c:pt idx="3">
                  <c:v>Bengaluru</c:v>
                </c:pt>
                <c:pt idx="4">
                  <c:v>Hyderabad</c:v>
                </c:pt>
                <c:pt idx="5">
                  <c:v>Delhi</c:v>
                </c:pt>
              </c:strCache>
            </c:strRef>
          </c:cat>
          <c:val>
            <c:numRef>
              <c:f>Analysis!$C$16:$C$22</c:f>
              <c:numCache>
                <c:formatCode>_ [$₹-4009]\ * #,##0_ ;_ [$₹-4009]\ * \-#,##0_ ;_ [$₹-4009]\ * "-"??_ ;_ @_ </c:formatCode>
                <c:ptCount val="6"/>
                <c:pt idx="0">
                  <c:v>1496104.0800000005</c:v>
                </c:pt>
                <c:pt idx="1">
                  <c:v>1350020.42</c:v>
                </c:pt>
                <c:pt idx="2">
                  <c:v>1170688.0749999995</c:v>
                </c:pt>
                <c:pt idx="3">
                  <c:v>1160775.7</c:v>
                </c:pt>
                <c:pt idx="4">
                  <c:v>1112206.1200000001</c:v>
                </c:pt>
                <c:pt idx="5">
                  <c:v>1092249.5299999998</c:v>
                </c:pt>
              </c:numCache>
            </c:numRef>
          </c:val>
          <c:extLst>
            <c:ext xmlns:c16="http://schemas.microsoft.com/office/drawing/2014/chart" uri="{C3380CC4-5D6E-409C-BE32-E72D297353CC}">
              <c16:uniqueId val="{00000000-BE86-420C-B6F8-80B229BE3093}"/>
            </c:ext>
          </c:extLst>
        </c:ser>
        <c:dLbls>
          <c:showLegendKey val="0"/>
          <c:showVal val="0"/>
          <c:showCatName val="0"/>
          <c:showSerName val="0"/>
          <c:showPercent val="0"/>
          <c:showBubbleSize val="0"/>
        </c:dLbls>
        <c:gapWidth val="182"/>
        <c:axId val="312844240"/>
        <c:axId val="118224464"/>
      </c:barChart>
      <c:lineChart>
        <c:grouping val="standard"/>
        <c:varyColors val="0"/>
        <c:ser>
          <c:idx val="1"/>
          <c:order val="1"/>
          <c:tx>
            <c:strRef>
              <c:f>Analysis!$D$15</c:f>
              <c:strCache>
                <c:ptCount val="1"/>
                <c:pt idx="0">
                  <c:v> Profit</c:v>
                </c:pt>
              </c:strCache>
            </c:strRef>
          </c:tx>
          <c:spPr>
            <a:ln w="28575" cap="rnd">
              <a:solidFill>
                <a:schemeClr val="accent2"/>
              </a:solidFill>
              <a:round/>
            </a:ln>
            <a:effectLst/>
          </c:spPr>
          <c:marker>
            <c:symbol val="triangle"/>
            <c:size val="7"/>
            <c:spPr>
              <a:solidFill>
                <a:schemeClr val="accent2"/>
              </a:solidFill>
              <a:ln w="9525">
                <a:solidFill>
                  <a:schemeClr val="accent2"/>
                </a:solidFill>
              </a:ln>
              <a:effectLst/>
            </c:spPr>
          </c:marker>
          <c:cat>
            <c:strRef>
              <c:f>Analysis!$B$16:$B$22</c:f>
              <c:strCache>
                <c:ptCount val="6"/>
                <c:pt idx="0">
                  <c:v>Mumbai</c:v>
                </c:pt>
                <c:pt idx="1">
                  <c:v>Pune</c:v>
                </c:pt>
                <c:pt idx="2">
                  <c:v>Kolkata</c:v>
                </c:pt>
                <c:pt idx="3">
                  <c:v>Bengaluru</c:v>
                </c:pt>
                <c:pt idx="4">
                  <c:v>Hyderabad</c:v>
                </c:pt>
                <c:pt idx="5">
                  <c:v>Delhi</c:v>
                </c:pt>
              </c:strCache>
            </c:strRef>
          </c:cat>
          <c:val>
            <c:numRef>
              <c:f>Analysis!$D$16:$D$22</c:f>
              <c:numCache>
                <c:formatCode>_ [$₹-4009]\ * #,##0_ ;_ [$₹-4009]\ * \-#,##0_ ;_ [$₹-4009]\ * "-"??_ ;_ @_ </c:formatCode>
                <c:ptCount val="6"/>
                <c:pt idx="0">
                  <c:v>147349.83000000007</c:v>
                </c:pt>
                <c:pt idx="1">
                  <c:v>102767.3</c:v>
                </c:pt>
                <c:pt idx="2">
                  <c:v>105297.25</c:v>
                </c:pt>
                <c:pt idx="3">
                  <c:v>105648.19</c:v>
                </c:pt>
                <c:pt idx="4">
                  <c:v>107847.95999999999</c:v>
                </c:pt>
                <c:pt idx="5">
                  <c:v>96974.489999999991</c:v>
                </c:pt>
              </c:numCache>
            </c:numRef>
          </c:val>
          <c:smooth val="0"/>
          <c:extLst>
            <c:ext xmlns:c16="http://schemas.microsoft.com/office/drawing/2014/chart" uri="{C3380CC4-5D6E-409C-BE32-E72D297353CC}">
              <c16:uniqueId val="{00000001-BE86-420C-B6F8-80B229BE3093}"/>
            </c:ext>
          </c:extLst>
        </c:ser>
        <c:dLbls>
          <c:showLegendKey val="0"/>
          <c:showVal val="0"/>
          <c:showCatName val="0"/>
          <c:showSerName val="0"/>
          <c:showPercent val="0"/>
          <c:showBubbleSize val="0"/>
        </c:dLbls>
        <c:marker val="1"/>
        <c:smooth val="0"/>
        <c:axId val="386206656"/>
        <c:axId val="386206176"/>
      </c:lineChart>
      <c:catAx>
        <c:axId val="31284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118224464"/>
        <c:crosses val="autoZero"/>
        <c:auto val="1"/>
        <c:lblAlgn val="ctr"/>
        <c:lblOffset val="100"/>
        <c:noMultiLvlLbl val="0"/>
      </c:catAx>
      <c:valAx>
        <c:axId val="118224464"/>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312844240"/>
        <c:crosses val="autoZero"/>
        <c:crossBetween val="between"/>
      </c:valAx>
      <c:valAx>
        <c:axId val="386206176"/>
        <c:scaling>
          <c:orientation val="minMax"/>
        </c:scaling>
        <c:delete val="0"/>
        <c:axPos val="r"/>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386206656"/>
        <c:crosses val="max"/>
        <c:crossBetween val="between"/>
      </c:valAx>
      <c:catAx>
        <c:axId val="386206656"/>
        <c:scaling>
          <c:orientation val="minMax"/>
        </c:scaling>
        <c:delete val="1"/>
        <c:axPos val="b"/>
        <c:numFmt formatCode="General" sourceLinked="1"/>
        <c:majorTickMark val="out"/>
        <c:minorTickMark val="none"/>
        <c:tickLblPos val="nextTo"/>
        <c:crossAx val="3862061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Dashboard.xlsx]Analysis!PivotTable3</c:name>
    <c:fmtId val="2"/>
  </c:pivotSource>
  <c:chart>
    <c:title>
      <c:tx>
        <c:rich>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r>
              <a:rPr lang="en-US" sz="1800" b="1" i="0" u="sng" strike="noStrike" kern="1200" spc="0" baseline="0">
                <a:solidFill>
                  <a:sysClr val="windowText" lastClr="000000">
                    <a:lumMod val="65000"/>
                    <a:lumOff val="35000"/>
                  </a:sysClr>
                </a:solidFill>
                <a:latin typeface="+mn-lt"/>
                <a:ea typeface="+mn-ea"/>
                <a:cs typeface="+mn-cs"/>
              </a:rPr>
              <a:t>Revenue Over Month</a:t>
            </a:r>
          </a:p>
        </c:rich>
      </c:tx>
      <c:overlay val="0"/>
      <c:spPr>
        <a:noFill/>
        <a:ln>
          <a:noFill/>
        </a:ln>
        <a:effectLst/>
      </c:spPr>
      <c:txPr>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triangle"/>
          <c:size val="7"/>
          <c:spPr>
            <a:solidFill>
              <a:srgbClr val="1E3A8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diamond"/>
          <c:size val="7"/>
          <c:spPr>
            <a:solidFill>
              <a:schemeClr val="accent2"/>
            </a:solidFill>
            <a:ln w="127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Analysis!$C$34</c:f>
              <c:strCache>
                <c:ptCount val="1"/>
                <c:pt idx="0">
                  <c:v> Revenue</c:v>
                </c:pt>
              </c:strCache>
            </c:strRef>
          </c:tx>
          <c:spPr>
            <a:ln w="28575" cap="rnd">
              <a:solidFill>
                <a:schemeClr val="accent1"/>
              </a:solidFill>
              <a:round/>
            </a:ln>
            <a:effectLst/>
          </c:spPr>
          <c:marker>
            <c:symbol val="triangle"/>
            <c:size val="7"/>
            <c:spPr>
              <a:solidFill>
                <a:srgbClr val="1E3A8A"/>
              </a:solidFill>
              <a:ln w="9525">
                <a:solidFill>
                  <a:schemeClr val="accent1"/>
                </a:solidFill>
              </a:ln>
              <a:effectLst/>
            </c:spPr>
          </c:marker>
          <c:cat>
            <c:strRef>
              <c:f>Analysis!$B$35:$B$47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Analysis!$C$35:$C$47</c:f>
              <c:numCache>
                <c:formatCode>_ [$₹-4009]\ * #,##0_ ;_ [$₹-4009]\ * \-#,##0_ ;_ [$₹-4009]\ * "-"??_ ;_ @_ </c:formatCode>
                <c:ptCount val="12"/>
                <c:pt idx="0">
                  <c:v>675913.71000000008</c:v>
                </c:pt>
                <c:pt idx="1">
                  <c:v>523293.67</c:v>
                </c:pt>
                <c:pt idx="2">
                  <c:v>621844.62500000012</c:v>
                </c:pt>
                <c:pt idx="3">
                  <c:v>534609.54499999993</c:v>
                </c:pt>
                <c:pt idx="4">
                  <c:v>667950.21000000008</c:v>
                </c:pt>
                <c:pt idx="5">
                  <c:v>708241.88500000013</c:v>
                </c:pt>
                <c:pt idx="6">
                  <c:v>616093.76500000001</c:v>
                </c:pt>
                <c:pt idx="7">
                  <c:v>481893.42999999993</c:v>
                </c:pt>
                <c:pt idx="8">
                  <c:v>604394.58499999996</c:v>
                </c:pt>
                <c:pt idx="9">
                  <c:v>670723.49</c:v>
                </c:pt>
                <c:pt idx="10">
                  <c:v>735811.29999999993</c:v>
                </c:pt>
                <c:pt idx="11">
                  <c:v>541273.71</c:v>
                </c:pt>
              </c:numCache>
            </c:numRef>
          </c:val>
          <c:smooth val="0"/>
          <c:extLst>
            <c:ext xmlns:c16="http://schemas.microsoft.com/office/drawing/2014/chart" uri="{C3380CC4-5D6E-409C-BE32-E72D297353CC}">
              <c16:uniqueId val="{00000000-5C99-4639-942A-D09A7B58D845}"/>
            </c:ext>
          </c:extLst>
        </c:ser>
        <c:dLbls>
          <c:showLegendKey val="0"/>
          <c:showVal val="0"/>
          <c:showCatName val="0"/>
          <c:showSerName val="0"/>
          <c:showPercent val="0"/>
          <c:showBubbleSize val="0"/>
        </c:dLbls>
        <c:marker val="1"/>
        <c:smooth val="0"/>
        <c:axId val="299786944"/>
        <c:axId val="313666064"/>
      </c:lineChart>
      <c:lineChart>
        <c:grouping val="stacked"/>
        <c:varyColors val="0"/>
        <c:ser>
          <c:idx val="1"/>
          <c:order val="1"/>
          <c:tx>
            <c:strRef>
              <c:f>Analysis!$D$34</c:f>
              <c:strCache>
                <c:ptCount val="1"/>
                <c:pt idx="0">
                  <c:v> Profit</c:v>
                </c:pt>
              </c:strCache>
            </c:strRef>
          </c:tx>
          <c:spPr>
            <a:ln w="28575" cap="rnd">
              <a:solidFill>
                <a:schemeClr val="accent2"/>
              </a:solidFill>
              <a:round/>
            </a:ln>
            <a:effectLst/>
          </c:spPr>
          <c:marker>
            <c:symbol val="diamond"/>
            <c:size val="7"/>
            <c:spPr>
              <a:solidFill>
                <a:schemeClr val="accent2"/>
              </a:solidFill>
              <a:ln w="12700">
                <a:solidFill>
                  <a:schemeClr val="accent2"/>
                </a:solidFill>
              </a:ln>
              <a:effectLst/>
            </c:spPr>
          </c:marker>
          <c:cat>
            <c:strRef>
              <c:f>Analysis!$B$35:$B$47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Analysis!$D$35:$D$47</c:f>
              <c:numCache>
                <c:formatCode>_ [$₹-4009]\ * #,##0_ ;_ [$₹-4009]\ * \-#,##0_ ;_ [$₹-4009]\ * "-"??_ ;_ @_ </c:formatCode>
                <c:ptCount val="12"/>
                <c:pt idx="0">
                  <c:v>48539.310000000005</c:v>
                </c:pt>
                <c:pt idx="1">
                  <c:v>52580.6</c:v>
                </c:pt>
                <c:pt idx="2">
                  <c:v>57165.229999999974</c:v>
                </c:pt>
                <c:pt idx="3">
                  <c:v>47384.710000000021</c:v>
                </c:pt>
                <c:pt idx="4">
                  <c:v>53019.5</c:v>
                </c:pt>
                <c:pt idx="5">
                  <c:v>65613.459999999992</c:v>
                </c:pt>
                <c:pt idx="6">
                  <c:v>44002.219999999994</c:v>
                </c:pt>
                <c:pt idx="7">
                  <c:v>45502.939999999995</c:v>
                </c:pt>
                <c:pt idx="8">
                  <c:v>58926.119999999995</c:v>
                </c:pt>
                <c:pt idx="9">
                  <c:v>61830.709999999992</c:v>
                </c:pt>
                <c:pt idx="10">
                  <c:v>73500.67</c:v>
                </c:pt>
                <c:pt idx="11">
                  <c:v>57819.55</c:v>
                </c:pt>
              </c:numCache>
            </c:numRef>
          </c:val>
          <c:smooth val="0"/>
          <c:extLst>
            <c:ext xmlns:c16="http://schemas.microsoft.com/office/drawing/2014/chart" uri="{C3380CC4-5D6E-409C-BE32-E72D297353CC}">
              <c16:uniqueId val="{00000000-2A2C-4CBE-8A49-968A85F78EC8}"/>
            </c:ext>
          </c:extLst>
        </c:ser>
        <c:dLbls>
          <c:showLegendKey val="0"/>
          <c:showVal val="0"/>
          <c:showCatName val="0"/>
          <c:showSerName val="0"/>
          <c:showPercent val="0"/>
          <c:showBubbleSize val="0"/>
        </c:dLbls>
        <c:marker val="1"/>
        <c:smooth val="0"/>
        <c:axId val="1611680032"/>
        <c:axId val="1611678112"/>
      </c:lineChart>
      <c:catAx>
        <c:axId val="2997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313666064"/>
        <c:crosses val="autoZero"/>
        <c:auto val="1"/>
        <c:lblAlgn val="ctr"/>
        <c:lblOffset val="100"/>
        <c:noMultiLvlLbl val="0"/>
      </c:catAx>
      <c:valAx>
        <c:axId val="313666064"/>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299786944"/>
        <c:crosses val="autoZero"/>
        <c:crossBetween val="between"/>
      </c:valAx>
      <c:valAx>
        <c:axId val="1611678112"/>
        <c:scaling>
          <c:orientation val="minMax"/>
        </c:scaling>
        <c:delete val="0"/>
        <c:axPos val="r"/>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1611680032"/>
        <c:crosses val="max"/>
        <c:crossBetween val="between"/>
      </c:valAx>
      <c:catAx>
        <c:axId val="1611680032"/>
        <c:scaling>
          <c:orientation val="minMax"/>
        </c:scaling>
        <c:delete val="1"/>
        <c:axPos val="b"/>
        <c:numFmt formatCode="General" sourceLinked="1"/>
        <c:majorTickMark val="out"/>
        <c:minorTickMark val="none"/>
        <c:tickLblPos val="nextTo"/>
        <c:crossAx val="16116781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Dashboard.xlsx]Analysis!PivotTable5</c:name>
    <c:fmtId val="4"/>
  </c:pivotSource>
  <c:chart>
    <c:title>
      <c:tx>
        <c:rich>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r>
              <a:rPr lang="en-US" sz="1800" b="1" i="0" u="sng" strike="noStrike" kern="1200" spc="0" baseline="0">
                <a:solidFill>
                  <a:sysClr val="windowText" lastClr="000000">
                    <a:lumMod val="65000"/>
                    <a:lumOff val="35000"/>
                  </a:sysClr>
                </a:solidFill>
                <a:latin typeface="+mn-lt"/>
                <a:ea typeface="+mn-ea"/>
                <a:cs typeface="+mn-cs"/>
              </a:rPr>
              <a:t>Revenue and Profit Margin Over Discount </a:t>
            </a:r>
          </a:p>
        </c:rich>
      </c:tx>
      <c:overlay val="0"/>
      <c:spPr>
        <a:noFill/>
        <a:ln>
          <a:noFill/>
        </a:ln>
        <a:effectLst/>
      </c:spPr>
      <c:txPr>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diamond"/>
          <c:size val="8"/>
          <c:spPr>
            <a:solidFill>
              <a:schemeClr val="accent2"/>
            </a:solidFill>
            <a:ln w="2857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pivotFmt>
      <c:pivotFmt>
        <c:idx val="10"/>
        <c:spPr>
          <a:ln w="38100" cap="rnd">
            <a:solidFill>
              <a:schemeClr val="accent2"/>
            </a:solidFill>
            <a:round/>
          </a:ln>
          <a:effectLst/>
        </c:spPr>
        <c:marker>
          <c:symbol val="diamond"/>
          <c:size val="8"/>
          <c:spPr>
            <a:solidFill>
              <a:schemeClr val="accent2"/>
            </a:solidFill>
            <a:ln w="28575">
              <a:solidFill>
                <a:srgbClr val="C00000"/>
              </a:solidFill>
            </a:ln>
            <a:effectLst/>
          </c:spPr>
        </c:marker>
        <c:dLbl>
          <c:idx val="0"/>
          <c:layout>
            <c:manualLayout>
              <c:x val="3.0356100059800849E-2"/>
              <c:y val="7.1038220800214791E-3"/>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Analysis!$Q$34</c:f>
              <c:strCache>
                <c:ptCount val="1"/>
                <c:pt idx="0">
                  <c:v> Revenue</c:v>
                </c:pt>
              </c:strCache>
            </c:strRef>
          </c:tx>
          <c:spPr>
            <a:solidFill>
              <a:srgbClr val="0070C0"/>
            </a:solidFill>
            <a:ln>
              <a:noFill/>
            </a:ln>
            <a:effectLst/>
          </c:spPr>
          <c:invertIfNegative val="0"/>
          <c:cat>
            <c:strRef>
              <c:f>Analysis!$P$35:$P$40</c:f>
              <c:strCache>
                <c:ptCount val="5"/>
                <c:pt idx="0">
                  <c:v>0-10%</c:v>
                </c:pt>
                <c:pt idx="1">
                  <c:v>10%-20%</c:v>
                </c:pt>
                <c:pt idx="2">
                  <c:v>20%-30%</c:v>
                </c:pt>
                <c:pt idx="3">
                  <c:v>30%-50%</c:v>
                </c:pt>
                <c:pt idx="4">
                  <c:v>50%+</c:v>
                </c:pt>
              </c:strCache>
            </c:strRef>
          </c:cat>
          <c:val>
            <c:numRef>
              <c:f>Analysis!$Q$35:$Q$40</c:f>
              <c:numCache>
                <c:formatCode>_ "₹"\ * #,##0_ ;_ "₹"\ * \-#,##0_ ;_ "₹"\ * "-"??_ ;_ @_ </c:formatCode>
                <c:ptCount val="5"/>
                <c:pt idx="0">
                  <c:v>5365051.7799999947</c:v>
                </c:pt>
                <c:pt idx="1">
                  <c:v>206515.80499999996</c:v>
                </c:pt>
                <c:pt idx="2">
                  <c:v>308889.26500000001</c:v>
                </c:pt>
                <c:pt idx="3">
                  <c:v>528419.09499999997</c:v>
                </c:pt>
                <c:pt idx="4">
                  <c:v>973167.97999999986</c:v>
                </c:pt>
              </c:numCache>
            </c:numRef>
          </c:val>
          <c:extLst>
            <c:ext xmlns:c16="http://schemas.microsoft.com/office/drawing/2014/chart" uri="{C3380CC4-5D6E-409C-BE32-E72D297353CC}">
              <c16:uniqueId val="{00000000-D2DE-4FC2-AD3E-A175C355D002}"/>
            </c:ext>
          </c:extLst>
        </c:ser>
        <c:dLbls>
          <c:showLegendKey val="0"/>
          <c:showVal val="0"/>
          <c:showCatName val="0"/>
          <c:showSerName val="0"/>
          <c:showPercent val="0"/>
          <c:showBubbleSize val="0"/>
        </c:dLbls>
        <c:gapWidth val="219"/>
        <c:axId val="101437312"/>
        <c:axId val="101434432"/>
      </c:barChart>
      <c:lineChart>
        <c:grouping val="standard"/>
        <c:varyColors val="0"/>
        <c:ser>
          <c:idx val="1"/>
          <c:order val="1"/>
          <c:tx>
            <c:strRef>
              <c:f>Analysis!$R$34</c:f>
              <c:strCache>
                <c:ptCount val="1"/>
                <c:pt idx="0">
                  <c:v> Profit Margin</c:v>
                </c:pt>
              </c:strCache>
            </c:strRef>
          </c:tx>
          <c:spPr>
            <a:ln w="38100" cap="rnd">
              <a:solidFill>
                <a:schemeClr val="accent2"/>
              </a:solidFill>
              <a:round/>
            </a:ln>
            <a:effectLst/>
          </c:spPr>
          <c:marker>
            <c:symbol val="diamond"/>
            <c:size val="8"/>
            <c:spPr>
              <a:solidFill>
                <a:schemeClr val="accent2"/>
              </a:solidFill>
              <a:ln w="28575">
                <a:solidFill>
                  <a:srgbClr val="C00000"/>
                </a:solidFill>
              </a:ln>
              <a:effectLst/>
            </c:spPr>
          </c:marker>
          <c:dPt>
            <c:idx val="0"/>
            <c:marker>
              <c:symbol val="diamond"/>
              <c:size val="8"/>
              <c:spPr>
                <a:solidFill>
                  <a:schemeClr val="accent2"/>
                </a:solidFill>
                <a:ln w="28575">
                  <a:solidFill>
                    <a:srgbClr val="C00000"/>
                  </a:solidFill>
                </a:ln>
                <a:effectLst/>
              </c:spPr>
            </c:marker>
            <c:bubble3D val="0"/>
            <c:spPr>
              <a:ln w="38100" cap="rnd">
                <a:solidFill>
                  <a:schemeClr val="accent2"/>
                </a:solidFill>
                <a:round/>
              </a:ln>
              <a:effectLst/>
            </c:spPr>
            <c:extLst>
              <c:ext xmlns:c16="http://schemas.microsoft.com/office/drawing/2014/chart" uri="{C3380CC4-5D6E-409C-BE32-E72D297353CC}">
                <c16:uniqueId val="{00000000-6BDB-4908-B0CC-82778ED0174C}"/>
              </c:ext>
            </c:extLst>
          </c:dPt>
          <c:dLbls>
            <c:dLbl>
              <c:idx val="0"/>
              <c:layout>
                <c:manualLayout>
                  <c:x val="3.0356100059800849E-2"/>
                  <c:y val="7.10382208002147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DB-4908-B0CC-82778ED0174C}"/>
                </c:ext>
              </c:extLst>
            </c:dLbl>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Analysis!$P$35:$P$40</c:f>
              <c:strCache>
                <c:ptCount val="5"/>
                <c:pt idx="0">
                  <c:v>0-10%</c:v>
                </c:pt>
                <c:pt idx="1">
                  <c:v>10%-20%</c:v>
                </c:pt>
                <c:pt idx="2">
                  <c:v>20%-30%</c:v>
                </c:pt>
                <c:pt idx="3">
                  <c:v>30%-50%</c:v>
                </c:pt>
                <c:pt idx="4">
                  <c:v>50%+</c:v>
                </c:pt>
              </c:strCache>
            </c:strRef>
          </c:cat>
          <c:val>
            <c:numRef>
              <c:f>Analysis!$R$35:$R$40</c:f>
              <c:numCache>
                <c:formatCode>0%</c:formatCode>
                <c:ptCount val="5"/>
                <c:pt idx="0">
                  <c:v>9.0302090243759056E-2</c:v>
                </c:pt>
                <c:pt idx="1">
                  <c:v>0.14054846794897854</c:v>
                </c:pt>
                <c:pt idx="2">
                  <c:v>0.10431621830561189</c:v>
                </c:pt>
                <c:pt idx="3">
                  <c:v>0.11038456133005567</c:v>
                </c:pt>
                <c:pt idx="4">
                  <c:v>6.3537520007594175E-2</c:v>
                </c:pt>
              </c:numCache>
            </c:numRef>
          </c:val>
          <c:smooth val="0"/>
          <c:extLst>
            <c:ext xmlns:c16="http://schemas.microsoft.com/office/drawing/2014/chart" uri="{C3380CC4-5D6E-409C-BE32-E72D297353CC}">
              <c16:uniqueId val="{00000001-D2DE-4FC2-AD3E-A175C355D002}"/>
            </c:ext>
          </c:extLst>
        </c:ser>
        <c:dLbls>
          <c:showLegendKey val="0"/>
          <c:showVal val="0"/>
          <c:showCatName val="0"/>
          <c:showSerName val="0"/>
          <c:showPercent val="0"/>
          <c:showBubbleSize val="0"/>
        </c:dLbls>
        <c:marker val="1"/>
        <c:smooth val="0"/>
        <c:axId val="1460978464"/>
        <c:axId val="1460994784"/>
      </c:lineChart>
      <c:catAx>
        <c:axId val="1014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101434432"/>
        <c:crosses val="autoZero"/>
        <c:auto val="1"/>
        <c:lblAlgn val="ctr"/>
        <c:lblOffset val="100"/>
        <c:noMultiLvlLbl val="0"/>
      </c:catAx>
      <c:valAx>
        <c:axId val="101434432"/>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101437312"/>
        <c:crosses val="autoZero"/>
        <c:crossBetween val="between"/>
      </c:valAx>
      <c:valAx>
        <c:axId val="14609947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1460978464"/>
        <c:crosses val="max"/>
        <c:crossBetween val="between"/>
      </c:valAx>
      <c:catAx>
        <c:axId val="1460978464"/>
        <c:scaling>
          <c:orientation val="minMax"/>
        </c:scaling>
        <c:delete val="1"/>
        <c:axPos val="b"/>
        <c:numFmt formatCode="General" sourceLinked="1"/>
        <c:majorTickMark val="out"/>
        <c:minorTickMark val="none"/>
        <c:tickLblPos val="nextTo"/>
        <c:crossAx val="14609947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Dashboard.xlsx]Analysis!PivotTable8</c:name>
    <c:fmtId val="2"/>
  </c:pivotSource>
  <c:chart>
    <c:title>
      <c:tx>
        <c:rich>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mn-lt"/>
                <a:ea typeface="+mn-ea"/>
                <a:cs typeface="+mn-cs"/>
              </a:defRPr>
            </a:pPr>
            <a:r>
              <a:rPr lang="en-IN" sz="1800" b="1" i="0" u="sng" strike="noStrike" kern="1200" spc="0" baseline="0">
                <a:solidFill>
                  <a:sysClr val="windowText" lastClr="000000">
                    <a:lumMod val="65000"/>
                    <a:lumOff val="35000"/>
                  </a:sysClr>
                </a:solidFill>
                <a:latin typeface="+mn-lt"/>
                <a:ea typeface="+mn-ea"/>
                <a:cs typeface="+mn-cs"/>
              </a:rPr>
              <a:t>Most Profitable Products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Analysis!$I$52</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Analysis!$H$53:$H$58</c:f>
              <c:strCache>
                <c:ptCount val="5"/>
                <c:pt idx="0">
                  <c:v>Premier III</c:v>
                </c:pt>
                <c:pt idx="1">
                  <c:v>Blazer Mid</c:v>
                </c:pt>
                <c:pt idx="2">
                  <c:v>Air Zoom</c:v>
                </c:pt>
                <c:pt idx="3">
                  <c:v>Free RN</c:v>
                </c:pt>
                <c:pt idx="4">
                  <c:v>Pegasus Turbo</c:v>
                </c:pt>
              </c:strCache>
            </c:strRef>
          </c:cat>
          <c:val>
            <c:numRef>
              <c:f>Analysis!$I$53:$I$58</c:f>
              <c:numCache>
                <c:formatCode>0%</c:formatCode>
                <c:ptCount val="5"/>
                <c:pt idx="0">
                  <c:v>0.14645417966681656</c:v>
                </c:pt>
                <c:pt idx="1">
                  <c:v>0.13163693709452262</c:v>
                </c:pt>
                <c:pt idx="2">
                  <c:v>0.12192410573506635</c:v>
                </c:pt>
                <c:pt idx="3">
                  <c:v>0.12128825752148713</c:v>
                </c:pt>
                <c:pt idx="4">
                  <c:v>0.10865471858979846</c:v>
                </c:pt>
              </c:numCache>
            </c:numRef>
          </c:val>
          <c:extLst>
            <c:ext xmlns:c16="http://schemas.microsoft.com/office/drawing/2014/chart" uri="{C3380CC4-5D6E-409C-BE32-E72D297353CC}">
              <c16:uniqueId val="{00000000-9CC1-4715-AF10-FF8089ECE35F}"/>
            </c:ext>
          </c:extLst>
        </c:ser>
        <c:dLbls>
          <c:showLegendKey val="0"/>
          <c:showVal val="0"/>
          <c:showCatName val="0"/>
          <c:showSerName val="0"/>
          <c:showPercent val="0"/>
          <c:showBubbleSize val="0"/>
        </c:dLbls>
        <c:gapWidth val="98"/>
        <c:axId val="45364688"/>
        <c:axId val="45370928"/>
      </c:barChart>
      <c:catAx>
        <c:axId val="4536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45370928"/>
        <c:crosses val="autoZero"/>
        <c:auto val="1"/>
        <c:lblAlgn val="ctr"/>
        <c:lblOffset val="100"/>
        <c:noMultiLvlLbl val="0"/>
      </c:catAx>
      <c:valAx>
        <c:axId val="453709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4536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[Nike Sales Dashboard.xlsx]Analysis!PivotTable6</c:name>
    <c:fmtId val="15"/>
  </c:pivotSource>
  <c:chart>
    <c:title>
      <c:tx>
        <c:rich>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r>
              <a:rPr lang="en-US" sz="1800" b="1" i="0" u="sng" strike="noStrike" kern="1200" spc="0" baseline="0">
                <a:solidFill>
                  <a:sysClr val="windowText" lastClr="000000">
                    <a:lumMod val="65000"/>
                    <a:lumOff val="35000"/>
                  </a:sysClr>
                </a:solidFill>
                <a:latin typeface="+mn-lt"/>
                <a:ea typeface="+mn-ea"/>
                <a:cs typeface="+mn-cs"/>
              </a:rPr>
              <a:t>Profit Across Genders</a:t>
            </a:r>
          </a:p>
        </c:rich>
      </c:tx>
      <c:overlay val="0"/>
      <c:spPr>
        <a:noFill/>
        <a:ln>
          <a:noFill/>
        </a:ln>
        <a:effectLst/>
      </c:spPr>
      <c:txPr>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manualLayout>
          <c:layoutTarget val="inner"/>
          <c:xMode val="edge"/>
          <c:yMode val="edge"/>
          <c:x val="8.1944444444444445E-2"/>
          <c:y val="0.10969710606003343"/>
          <c:w val="0.81388888888888888"/>
          <c:h val="0.65717738155495187"/>
        </c:manualLayout>
      </c:layout>
      <c:pieChart>
        <c:varyColors val="1"/>
        <c:ser>
          <c:idx val="0"/>
          <c:order val="0"/>
          <c:tx>
            <c:strRef>
              <c:f>Analysis!$X$46</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8B5D-4629-8AA1-6E15396CF8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5D-4629-8AA1-6E15396CF8C8}"/>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8B5D-4629-8AA1-6E15396CF8C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Analysis!$W$47:$W$50</c:f>
              <c:strCache>
                <c:ptCount val="3"/>
                <c:pt idx="0">
                  <c:v>Kids</c:v>
                </c:pt>
                <c:pt idx="1">
                  <c:v>Men</c:v>
                </c:pt>
                <c:pt idx="2">
                  <c:v>Women</c:v>
                </c:pt>
              </c:strCache>
            </c:strRef>
          </c:cat>
          <c:val>
            <c:numRef>
              <c:f>Analysis!$X$47:$X$50</c:f>
              <c:numCache>
                <c:formatCode>0%</c:formatCode>
                <c:ptCount val="3"/>
                <c:pt idx="0">
                  <c:v>0.3781196189095829</c:v>
                </c:pt>
                <c:pt idx="1">
                  <c:v>0.31515712727701867</c:v>
                </c:pt>
                <c:pt idx="2">
                  <c:v>0.30672325381339854</c:v>
                </c:pt>
              </c:numCache>
            </c:numRef>
          </c:val>
          <c:extLst>
            <c:ext xmlns:c16="http://schemas.microsoft.com/office/drawing/2014/chart" uri="{C3380CC4-5D6E-409C-BE32-E72D297353CC}">
              <c16:uniqueId val="{00000006-8B5D-4629-8AA1-6E15396CF8C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4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464820</xdr:colOff>
      <xdr:row>13</xdr:row>
      <xdr:rowOff>64770</xdr:rowOff>
    </xdr:from>
    <xdr:to>
      <xdr:col>10</xdr:col>
      <xdr:colOff>38100</xdr:colOff>
      <xdr:row>28</xdr:row>
      <xdr:rowOff>64770</xdr:rowOff>
    </xdr:to>
    <xdr:graphicFrame macro="">
      <xdr:nvGraphicFramePr>
        <xdr:cNvPr id="2" name="Chart 1">
          <a:extLst>
            <a:ext uri="{FF2B5EF4-FFF2-40B4-BE49-F238E27FC236}">
              <a16:creationId xmlns:a16="http://schemas.microsoft.com/office/drawing/2014/main" id="{E8176964-E72B-6CFF-9249-A0EE00CAA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624840</xdr:colOff>
      <xdr:row>29</xdr:row>
      <xdr:rowOff>110490</xdr:rowOff>
    </xdr:from>
    <xdr:to>
      <xdr:col>10</xdr:col>
      <xdr:colOff>198120</xdr:colOff>
      <xdr:row>44</xdr:row>
      <xdr:rowOff>110490</xdr:rowOff>
    </xdr:to>
    <xdr:graphicFrame macro="">
      <xdr:nvGraphicFramePr>
        <xdr:cNvPr id="3" name="Chart 2">
          <a:extLst>
            <a:ext uri="{FF2B5EF4-FFF2-40B4-BE49-F238E27FC236}">
              <a16:creationId xmlns:a16="http://schemas.microsoft.com/office/drawing/2014/main" id="{149DFE9B-9674-8D15-A53F-1C71A45D2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472440</xdr:colOff>
      <xdr:row>19</xdr:row>
      <xdr:rowOff>125730</xdr:rowOff>
    </xdr:from>
    <xdr:to>
      <xdr:col>27</xdr:col>
      <xdr:colOff>426720</xdr:colOff>
      <xdr:row>34</xdr:row>
      <xdr:rowOff>125730</xdr:rowOff>
    </xdr:to>
    <xdr:graphicFrame macro="">
      <xdr:nvGraphicFramePr>
        <xdr:cNvPr id="24" name="Chart 23">
          <a:extLst>
            <a:ext uri="{FF2B5EF4-FFF2-40B4-BE49-F238E27FC236}">
              <a16:creationId xmlns:a16="http://schemas.microsoft.com/office/drawing/2014/main" id="{B27E5D81-C3FD-6149-5B1B-275139C95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670560</xdr:colOff>
      <xdr:row>46</xdr:row>
      <xdr:rowOff>179070</xdr:rowOff>
    </xdr:from>
    <xdr:to>
      <xdr:col>6</xdr:col>
      <xdr:colOff>403860</xdr:colOff>
      <xdr:row>61</xdr:row>
      <xdr:rowOff>179070</xdr:rowOff>
    </xdr:to>
    <xdr:graphicFrame macro="">
      <xdr:nvGraphicFramePr>
        <xdr:cNvPr id="25" name="Chart 24">
          <a:extLst>
            <a:ext uri="{FF2B5EF4-FFF2-40B4-BE49-F238E27FC236}">
              <a16:creationId xmlns:a16="http://schemas.microsoft.com/office/drawing/2014/main" id="{D0688CAA-15CF-170B-757B-A9ABF09B7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525780</xdr:colOff>
      <xdr:row>20</xdr:row>
      <xdr:rowOff>3810</xdr:rowOff>
    </xdr:from>
    <xdr:to>
      <xdr:col>34</xdr:col>
      <xdr:colOff>594360</xdr:colOff>
      <xdr:row>35</xdr:row>
      <xdr:rowOff>3810</xdr:rowOff>
    </xdr:to>
    <xdr:graphicFrame macro="">
      <xdr:nvGraphicFramePr>
        <xdr:cNvPr id="4" name="Chart 3">
          <a:extLst>
            <a:ext uri="{FF2B5EF4-FFF2-40B4-BE49-F238E27FC236}">
              <a16:creationId xmlns:a16="http://schemas.microsoft.com/office/drawing/2014/main" id="{0EAA3760-7B61-6F8B-E1F9-858F978F0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381000</xdr:colOff>
      <xdr:row>42</xdr:row>
      <xdr:rowOff>163830</xdr:rowOff>
    </xdr:from>
    <xdr:to>
      <xdr:col>21</xdr:col>
      <xdr:colOff>723900</xdr:colOff>
      <xdr:row>57</xdr:row>
      <xdr:rowOff>163830</xdr:rowOff>
    </xdr:to>
    <xdr:graphicFrame macro="">
      <xdr:nvGraphicFramePr>
        <xdr:cNvPr id="6" name="Chart 5">
          <a:extLst>
            <a:ext uri="{FF2B5EF4-FFF2-40B4-BE49-F238E27FC236}">
              <a16:creationId xmlns:a16="http://schemas.microsoft.com/office/drawing/2014/main" id="{E2F5DD65-5AD9-7747-9403-3C1E529D7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10</xdr:row>
      <xdr:rowOff>0</xdr:rowOff>
    </xdr:to>
    <xdr:sp macro="" textlink="">
      <xdr:nvSpPr>
        <xdr:cNvPr id="9" name="Rectangle: Rounded Corners 8">
          <a:extLst>
            <a:ext uri="{FF2B5EF4-FFF2-40B4-BE49-F238E27FC236}">
              <a16:creationId xmlns:a16="http://schemas.microsoft.com/office/drawing/2014/main" id="{0E7684FE-6F9F-2B0A-83A7-CC37DA86DB25}"/>
            </a:ext>
          </a:extLst>
        </xdr:cNvPr>
        <xdr:cNvSpPr/>
      </xdr:nvSpPr>
      <xdr:spPr>
        <a:xfrm>
          <a:off x="2438400" y="1500554"/>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TOTAL </a:t>
          </a:r>
          <a:r>
            <a:rPr lang="en-IN" sz="2000" b="1">
              <a:solidFill>
                <a:srgbClr val="E9533A"/>
              </a:solidFill>
              <a:latin typeface="+mj-lt"/>
              <a:ea typeface="+mn-ea"/>
              <a:cs typeface="+mn-cs"/>
            </a:rPr>
            <a:t>REVENUE</a:t>
          </a:r>
        </a:p>
      </xdr:txBody>
    </xdr:sp>
    <xdr:clientData/>
  </xdr:twoCellAnchor>
  <xdr:twoCellAnchor>
    <xdr:from>
      <xdr:col>0</xdr:col>
      <xdr:colOff>0</xdr:colOff>
      <xdr:row>0</xdr:row>
      <xdr:rowOff>0</xdr:rowOff>
    </xdr:from>
    <xdr:to>
      <xdr:col>3</xdr:col>
      <xdr:colOff>0</xdr:colOff>
      <xdr:row>69</xdr:row>
      <xdr:rowOff>140677</xdr:rowOff>
    </xdr:to>
    <xdr:sp macro="" textlink="">
      <xdr:nvSpPr>
        <xdr:cNvPr id="5" name="Rectangle 4">
          <a:extLst>
            <a:ext uri="{FF2B5EF4-FFF2-40B4-BE49-F238E27FC236}">
              <a16:creationId xmlns:a16="http://schemas.microsoft.com/office/drawing/2014/main" id="{B1771F32-6A6E-C58A-B212-27C54196ABA4}"/>
            </a:ext>
          </a:extLst>
        </xdr:cNvPr>
        <xdr:cNvSpPr/>
      </xdr:nvSpPr>
      <xdr:spPr>
        <a:xfrm>
          <a:off x="0" y="0"/>
          <a:ext cx="1828800" cy="13082954"/>
        </a:xfrm>
        <a:prstGeom prst="rect">
          <a:avLst/>
        </a:prstGeom>
        <a:solidFill>
          <a:srgbClr val="E953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37</xdr:col>
      <xdr:colOff>281354</xdr:colOff>
      <xdr:row>7</xdr:row>
      <xdr:rowOff>11723</xdr:rowOff>
    </xdr:to>
    <xdr:sp macro="" textlink="">
      <xdr:nvSpPr>
        <xdr:cNvPr id="3" name="Rectangle 2">
          <a:extLst>
            <a:ext uri="{FF2B5EF4-FFF2-40B4-BE49-F238E27FC236}">
              <a16:creationId xmlns:a16="http://schemas.microsoft.com/office/drawing/2014/main" id="{B1BFB330-BF08-A298-507B-4F36618092F5}"/>
            </a:ext>
          </a:extLst>
        </xdr:cNvPr>
        <xdr:cNvSpPr/>
      </xdr:nvSpPr>
      <xdr:spPr>
        <a:xfrm>
          <a:off x="0" y="0"/>
          <a:ext cx="24852923" cy="1324708"/>
        </a:xfrm>
        <a:prstGeom prst="rect">
          <a:avLst/>
        </a:prstGeom>
        <a:solidFill>
          <a:srgbClr val="E953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FFFF"/>
              </a:solidFill>
              <a:latin typeface="+mj-lt"/>
            </a:rPr>
            <a:t>Nike Sales</a:t>
          </a:r>
          <a:r>
            <a:rPr lang="en-IN" sz="3600" b="1" baseline="0">
              <a:solidFill>
                <a:srgbClr val="FFFFFF"/>
              </a:solidFill>
              <a:latin typeface="+mj-lt"/>
            </a:rPr>
            <a:t> Dashboard</a:t>
          </a:r>
          <a:endParaRPr lang="en-IN" sz="3600" b="1">
            <a:solidFill>
              <a:srgbClr val="FFFFFF"/>
            </a:solidFill>
            <a:latin typeface="+mj-lt"/>
          </a:endParaRPr>
        </a:p>
      </xdr:txBody>
    </xdr:sp>
    <xdr:clientData/>
  </xdr:twoCellAnchor>
  <xdr:twoCellAnchor>
    <xdr:from>
      <xdr:col>9</xdr:col>
      <xdr:colOff>0</xdr:colOff>
      <xdr:row>8</xdr:row>
      <xdr:rowOff>0</xdr:rowOff>
    </xdr:from>
    <xdr:to>
      <xdr:col>13</xdr:col>
      <xdr:colOff>0</xdr:colOff>
      <xdr:row>10</xdr:row>
      <xdr:rowOff>0</xdr:rowOff>
    </xdr:to>
    <xdr:sp macro="" textlink="">
      <xdr:nvSpPr>
        <xdr:cNvPr id="16" name="Rectangle: Rounded Corners 15">
          <a:extLst>
            <a:ext uri="{FF2B5EF4-FFF2-40B4-BE49-F238E27FC236}">
              <a16:creationId xmlns:a16="http://schemas.microsoft.com/office/drawing/2014/main" id="{B2051D4F-1AEF-4E14-8270-597ECB3514A2}"/>
            </a:ext>
          </a:extLst>
        </xdr:cNvPr>
        <xdr:cNvSpPr/>
      </xdr:nvSpPr>
      <xdr:spPr>
        <a:xfrm>
          <a:off x="5486400" y="1500554"/>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TOTAL </a:t>
          </a:r>
          <a:r>
            <a:rPr lang="en-IN" sz="2000" b="1">
              <a:solidFill>
                <a:srgbClr val="E9533A"/>
              </a:solidFill>
              <a:latin typeface="+mj-lt"/>
              <a:ea typeface="+mn-ea"/>
              <a:cs typeface="+mn-cs"/>
            </a:rPr>
            <a:t>PROFIT</a:t>
          </a:r>
        </a:p>
      </xdr:txBody>
    </xdr:sp>
    <xdr:clientData/>
  </xdr:twoCellAnchor>
  <xdr:twoCellAnchor>
    <xdr:from>
      <xdr:col>14</xdr:col>
      <xdr:colOff>0</xdr:colOff>
      <xdr:row>7</xdr:row>
      <xdr:rowOff>175846</xdr:rowOff>
    </xdr:from>
    <xdr:to>
      <xdr:col>18</xdr:col>
      <xdr:colOff>0</xdr:colOff>
      <xdr:row>9</xdr:row>
      <xdr:rowOff>175846</xdr:rowOff>
    </xdr:to>
    <xdr:sp macro="" textlink="">
      <xdr:nvSpPr>
        <xdr:cNvPr id="17" name="Rectangle: Rounded Corners 16">
          <a:extLst>
            <a:ext uri="{FF2B5EF4-FFF2-40B4-BE49-F238E27FC236}">
              <a16:creationId xmlns:a16="http://schemas.microsoft.com/office/drawing/2014/main" id="{25FFC1E3-CF45-46B5-9569-720E887066D1}"/>
            </a:ext>
          </a:extLst>
        </xdr:cNvPr>
        <xdr:cNvSpPr/>
      </xdr:nvSpPr>
      <xdr:spPr>
        <a:xfrm>
          <a:off x="8534400" y="1488831"/>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PROFIT</a:t>
          </a:r>
          <a:r>
            <a:rPr lang="en-IN" sz="2000" b="1" baseline="0">
              <a:solidFill>
                <a:srgbClr val="E9533A"/>
              </a:solidFill>
              <a:latin typeface="+mj-lt"/>
            </a:rPr>
            <a:t> MARGIN</a:t>
          </a:r>
          <a:endParaRPr lang="en-IN" sz="2000" b="1">
            <a:solidFill>
              <a:srgbClr val="E9533A"/>
            </a:solidFill>
            <a:latin typeface="+mj-lt"/>
          </a:endParaRPr>
        </a:p>
      </xdr:txBody>
    </xdr:sp>
    <xdr:clientData/>
  </xdr:twoCellAnchor>
  <xdr:twoCellAnchor>
    <xdr:from>
      <xdr:col>19</xdr:col>
      <xdr:colOff>0</xdr:colOff>
      <xdr:row>7</xdr:row>
      <xdr:rowOff>175846</xdr:rowOff>
    </xdr:from>
    <xdr:to>
      <xdr:col>23</xdr:col>
      <xdr:colOff>0</xdr:colOff>
      <xdr:row>9</xdr:row>
      <xdr:rowOff>175846</xdr:rowOff>
    </xdr:to>
    <xdr:sp macro="" textlink="">
      <xdr:nvSpPr>
        <xdr:cNvPr id="18" name="Rectangle: Rounded Corners 17">
          <a:extLst>
            <a:ext uri="{FF2B5EF4-FFF2-40B4-BE49-F238E27FC236}">
              <a16:creationId xmlns:a16="http://schemas.microsoft.com/office/drawing/2014/main" id="{D3A33AAE-25D7-4525-A012-FFA68D4B8BE3}"/>
            </a:ext>
          </a:extLst>
        </xdr:cNvPr>
        <xdr:cNvSpPr/>
      </xdr:nvSpPr>
      <xdr:spPr>
        <a:xfrm>
          <a:off x="11582400" y="1488831"/>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UNITS</a:t>
          </a:r>
          <a:r>
            <a:rPr lang="en-IN" sz="2000" b="1" baseline="0">
              <a:solidFill>
                <a:srgbClr val="E9533A"/>
              </a:solidFill>
              <a:latin typeface="+mj-lt"/>
            </a:rPr>
            <a:t> SOLD</a:t>
          </a:r>
          <a:endParaRPr lang="en-IN" sz="2000" b="1">
            <a:solidFill>
              <a:srgbClr val="E9533A"/>
            </a:solidFill>
            <a:latin typeface="+mj-lt"/>
          </a:endParaRPr>
        </a:p>
      </xdr:txBody>
    </xdr:sp>
    <xdr:clientData/>
  </xdr:twoCellAnchor>
  <xdr:twoCellAnchor>
    <xdr:from>
      <xdr:col>4</xdr:col>
      <xdr:colOff>11723</xdr:colOff>
      <xdr:row>10</xdr:row>
      <xdr:rowOff>0</xdr:rowOff>
    </xdr:from>
    <xdr:to>
      <xdr:col>8</xdr:col>
      <xdr:colOff>11723</xdr:colOff>
      <xdr:row>12</xdr:row>
      <xdr:rowOff>-1</xdr:rowOff>
    </xdr:to>
    <xdr:sp macro="" textlink="Calculations!C5">
      <xdr:nvSpPr>
        <xdr:cNvPr id="10" name="Rectangle: Rounded Corners 9">
          <a:extLst>
            <a:ext uri="{FF2B5EF4-FFF2-40B4-BE49-F238E27FC236}">
              <a16:creationId xmlns:a16="http://schemas.microsoft.com/office/drawing/2014/main" id="{FBAF16AF-2487-4D2B-9950-68276C4426A9}"/>
            </a:ext>
          </a:extLst>
        </xdr:cNvPr>
        <xdr:cNvSpPr/>
      </xdr:nvSpPr>
      <xdr:spPr>
        <a:xfrm>
          <a:off x="2450123" y="1875692"/>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FA4FCD-2307-4F07-8167-F9C2D99E16CF}" type="TxLink">
            <a:rPr lang="en-US" sz="1800" b="1" i="0" u="none" strike="noStrike">
              <a:solidFill>
                <a:srgbClr val="00B050"/>
              </a:solidFill>
              <a:latin typeface="Aptos Narrow"/>
            </a:rPr>
            <a:pPr algn="ctr"/>
            <a:t> ₹ 73,82,044 </a:t>
          </a:fld>
          <a:endParaRPr lang="en-IN" sz="3600" b="1">
            <a:solidFill>
              <a:srgbClr val="00B050"/>
            </a:solidFill>
          </a:endParaRPr>
        </a:p>
      </xdr:txBody>
    </xdr:sp>
    <xdr:clientData/>
  </xdr:twoCellAnchor>
  <xdr:twoCellAnchor>
    <xdr:from>
      <xdr:col>4</xdr:col>
      <xdr:colOff>0</xdr:colOff>
      <xdr:row>7</xdr:row>
      <xdr:rowOff>175846</xdr:rowOff>
    </xdr:from>
    <xdr:to>
      <xdr:col>8</xdr:col>
      <xdr:colOff>23446</xdr:colOff>
      <xdr:row>12</xdr:row>
      <xdr:rowOff>0</xdr:rowOff>
    </xdr:to>
    <xdr:sp macro="" textlink="">
      <xdr:nvSpPr>
        <xdr:cNvPr id="2" name="Rectangle: Rounded Corners 1">
          <a:extLst>
            <a:ext uri="{FF2B5EF4-FFF2-40B4-BE49-F238E27FC236}">
              <a16:creationId xmlns:a16="http://schemas.microsoft.com/office/drawing/2014/main" id="{53DBA529-0A8D-063F-53D1-EA32D308E4DA}"/>
            </a:ext>
          </a:extLst>
        </xdr:cNvPr>
        <xdr:cNvSpPr/>
      </xdr:nvSpPr>
      <xdr:spPr>
        <a:xfrm>
          <a:off x="2438400" y="1488831"/>
          <a:ext cx="2461846" cy="762000"/>
        </a:xfrm>
        <a:prstGeom prst="roundRect">
          <a:avLst/>
        </a:prstGeom>
        <a:noFill/>
        <a:ln>
          <a:solidFill>
            <a:srgbClr val="BB2C2C"/>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10</xdr:row>
      <xdr:rowOff>0</xdr:rowOff>
    </xdr:from>
    <xdr:to>
      <xdr:col>13</xdr:col>
      <xdr:colOff>0</xdr:colOff>
      <xdr:row>12</xdr:row>
      <xdr:rowOff>-1</xdr:rowOff>
    </xdr:to>
    <xdr:sp macro="" textlink="Calculations!C4">
      <xdr:nvSpPr>
        <xdr:cNvPr id="11" name="Rectangle: Rounded Corners 10">
          <a:extLst>
            <a:ext uri="{FF2B5EF4-FFF2-40B4-BE49-F238E27FC236}">
              <a16:creationId xmlns:a16="http://schemas.microsoft.com/office/drawing/2014/main" id="{AAAB6FE2-0815-4C29-AA94-15F9DCEAB411}"/>
            </a:ext>
          </a:extLst>
        </xdr:cNvPr>
        <xdr:cNvSpPr/>
      </xdr:nvSpPr>
      <xdr:spPr>
        <a:xfrm>
          <a:off x="5486400" y="1875692"/>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5E60EDF-431E-4614-A6A5-41625DDF4CE7}" type="TxLink">
            <a:rPr lang="en-US" sz="1800" b="1" i="0" u="none" strike="noStrike">
              <a:solidFill>
                <a:srgbClr val="00B050"/>
              </a:solidFill>
              <a:latin typeface="Aptos Narrow"/>
              <a:ea typeface="+mn-ea"/>
              <a:cs typeface="+mn-cs"/>
            </a:rPr>
            <a:pPr marL="0" indent="0" algn="ctr"/>
            <a:t> ₹ 6,65,885 </a:t>
          </a:fld>
          <a:endParaRPr lang="en-IN" sz="1800" b="1" i="0" u="none" strike="noStrike">
            <a:solidFill>
              <a:srgbClr val="00B050"/>
            </a:solidFill>
            <a:latin typeface="Aptos Narrow"/>
            <a:ea typeface="+mn-ea"/>
            <a:cs typeface="+mn-cs"/>
          </a:endParaRPr>
        </a:p>
      </xdr:txBody>
    </xdr:sp>
    <xdr:clientData/>
  </xdr:twoCellAnchor>
  <xdr:twoCellAnchor>
    <xdr:from>
      <xdr:col>9</xdr:col>
      <xdr:colOff>23446</xdr:colOff>
      <xdr:row>7</xdr:row>
      <xdr:rowOff>179948</xdr:rowOff>
    </xdr:from>
    <xdr:to>
      <xdr:col>13</xdr:col>
      <xdr:colOff>0</xdr:colOff>
      <xdr:row>11</xdr:row>
      <xdr:rowOff>164122</xdr:rowOff>
    </xdr:to>
    <xdr:sp macro="" textlink="">
      <xdr:nvSpPr>
        <xdr:cNvPr id="4" name="Rectangle: Rounded Corners 3">
          <a:extLst>
            <a:ext uri="{FF2B5EF4-FFF2-40B4-BE49-F238E27FC236}">
              <a16:creationId xmlns:a16="http://schemas.microsoft.com/office/drawing/2014/main" id="{3A705DA0-7187-49EF-AE12-D64A4F4AAA20}"/>
            </a:ext>
          </a:extLst>
        </xdr:cNvPr>
        <xdr:cNvSpPr/>
      </xdr:nvSpPr>
      <xdr:spPr>
        <a:xfrm>
          <a:off x="5509846" y="1492933"/>
          <a:ext cx="2414954" cy="734451"/>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0</xdr:colOff>
      <xdr:row>10</xdr:row>
      <xdr:rowOff>0</xdr:rowOff>
    </xdr:from>
    <xdr:to>
      <xdr:col>18</xdr:col>
      <xdr:colOff>0</xdr:colOff>
      <xdr:row>12</xdr:row>
      <xdr:rowOff>-1</xdr:rowOff>
    </xdr:to>
    <xdr:sp macro="" textlink="Calculations!C8">
      <xdr:nvSpPr>
        <xdr:cNvPr id="12" name="Rectangle: Rounded Corners 11">
          <a:extLst>
            <a:ext uri="{FF2B5EF4-FFF2-40B4-BE49-F238E27FC236}">
              <a16:creationId xmlns:a16="http://schemas.microsoft.com/office/drawing/2014/main" id="{AAB50A34-D9BD-4DD8-A018-2C78CDCC5770}"/>
            </a:ext>
          </a:extLst>
        </xdr:cNvPr>
        <xdr:cNvSpPr/>
      </xdr:nvSpPr>
      <xdr:spPr>
        <a:xfrm>
          <a:off x="8534400" y="1875692"/>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47594D3-DEA1-4A6F-9CF6-2799073C1324}" type="TxLink">
            <a:rPr lang="en-US" sz="1800" b="1" i="0" u="none" strike="noStrike">
              <a:solidFill>
                <a:srgbClr val="00B050"/>
              </a:solidFill>
              <a:latin typeface="Aptos Narrow"/>
              <a:ea typeface="+mn-ea"/>
              <a:cs typeface="+mn-cs"/>
            </a:rPr>
            <a:pPr marL="0" indent="0" algn="ctr"/>
            <a:t>9%</a:t>
          </a:fld>
          <a:endParaRPr lang="en-IN" sz="1800" b="1" i="0" u="none" strike="noStrike">
            <a:solidFill>
              <a:srgbClr val="00B050"/>
            </a:solidFill>
            <a:latin typeface="Aptos Narrow"/>
            <a:ea typeface="+mn-ea"/>
            <a:cs typeface="+mn-cs"/>
          </a:endParaRPr>
        </a:p>
      </xdr:txBody>
    </xdr:sp>
    <xdr:clientData/>
  </xdr:twoCellAnchor>
  <xdr:twoCellAnchor>
    <xdr:from>
      <xdr:col>14</xdr:col>
      <xdr:colOff>0</xdr:colOff>
      <xdr:row>7</xdr:row>
      <xdr:rowOff>175846</xdr:rowOff>
    </xdr:from>
    <xdr:to>
      <xdr:col>18</xdr:col>
      <xdr:colOff>23446</xdr:colOff>
      <xdr:row>12</xdr:row>
      <xdr:rowOff>0</xdr:rowOff>
    </xdr:to>
    <xdr:sp macro="" textlink="">
      <xdr:nvSpPr>
        <xdr:cNvPr id="6" name="Rectangle: Rounded Corners 5">
          <a:extLst>
            <a:ext uri="{FF2B5EF4-FFF2-40B4-BE49-F238E27FC236}">
              <a16:creationId xmlns:a16="http://schemas.microsoft.com/office/drawing/2014/main" id="{498510A7-60C4-4832-9F90-5891D2087281}"/>
            </a:ext>
          </a:extLst>
        </xdr:cNvPr>
        <xdr:cNvSpPr/>
      </xdr:nvSpPr>
      <xdr:spPr>
        <a:xfrm>
          <a:off x="8534400" y="1488831"/>
          <a:ext cx="2461846" cy="762000"/>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0</xdr:colOff>
      <xdr:row>10</xdr:row>
      <xdr:rowOff>0</xdr:rowOff>
    </xdr:from>
    <xdr:to>
      <xdr:col>23</xdr:col>
      <xdr:colOff>0</xdr:colOff>
      <xdr:row>12</xdr:row>
      <xdr:rowOff>0</xdr:rowOff>
    </xdr:to>
    <xdr:sp macro="" textlink="Calculations!C9">
      <xdr:nvSpPr>
        <xdr:cNvPr id="13" name="Rectangle: Rounded Corners 12">
          <a:extLst>
            <a:ext uri="{FF2B5EF4-FFF2-40B4-BE49-F238E27FC236}">
              <a16:creationId xmlns:a16="http://schemas.microsoft.com/office/drawing/2014/main" id="{AA811ACB-3CE3-44FB-86B6-557B6CC6CE3E}"/>
            </a:ext>
          </a:extLst>
        </xdr:cNvPr>
        <xdr:cNvSpPr/>
      </xdr:nvSpPr>
      <xdr:spPr>
        <a:xfrm>
          <a:off x="11582400" y="1875692"/>
          <a:ext cx="2438400" cy="37513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C7620F6-59F5-429F-92FC-7E54F7D645C8}" type="TxLink">
            <a:rPr lang="en-US" sz="1800" b="1" i="0" u="none" strike="noStrike">
              <a:solidFill>
                <a:srgbClr val="00B050"/>
              </a:solidFill>
              <a:latin typeface="Aptos Narrow"/>
              <a:ea typeface="+mn-ea"/>
              <a:cs typeface="+mn-cs"/>
            </a:rPr>
            <a:pPr marL="0" indent="0" algn="ctr"/>
            <a:t>1213</a:t>
          </a:fld>
          <a:endParaRPr lang="en-IN" sz="1800" b="1" i="0" u="none" strike="noStrike">
            <a:solidFill>
              <a:srgbClr val="00B050"/>
            </a:solidFill>
            <a:latin typeface="Aptos Narrow"/>
            <a:ea typeface="+mn-ea"/>
            <a:cs typeface="+mn-cs"/>
          </a:endParaRPr>
        </a:p>
      </xdr:txBody>
    </xdr:sp>
    <xdr:clientData/>
  </xdr:twoCellAnchor>
  <xdr:twoCellAnchor>
    <xdr:from>
      <xdr:col>19</xdr:col>
      <xdr:colOff>0</xdr:colOff>
      <xdr:row>7</xdr:row>
      <xdr:rowOff>175846</xdr:rowOff>
    </xdr:from>
    <xdr:to>
      <xdr:col>23</xdr:col>
      <xdr:colOff>23446</xdr:colOff>
      <xdr:row>12</xdr:row>
      <xdr:rowOff>0</xdr:rowOff>
    </xdr:to>
    <xdr:sp macro="" textlink="">
      <xdr:nvSpPr>
        <xdr:cNvPr id="7" name="Rectangle: Rounded Corners 6">
          <a:extLst>
            <a:ext uri="{FF2B5EF4-FFF2-40B4-BE49-F238E27FC236}">
              <a16:creationId xmlns:a16="http://schemas.microsoft.com/office/drawing/2014/main" id="{7E41E39F-A82E-41B3-8AE0-5B81001CE63F}"/>
            </a:ext>
          </a:extLst>
        </xdr:cNvPr>
        <xdr:cNvSpPr/>
      </xdr:nvSpPr>
      <xdr:spPr>
        <a:xfrm>
          <a:off x="11582400" y="1488831"/>
          <a:ext cx="2461846" cy="762000"/>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609599</xdr:colOff>
      <xdr:row>13</xdr:row>
      <xdr:rowOff>179948</xdr:rowOff>
    </xdr:from>
    <xdr:to>
      <xdr:col>15</xdr:col>
      <xdr:colOff>363415</xdr:colOff>
      <xdr:row>31</xdr:row>
      <xdr:rowOff>23446</xdr:rowOff>
    </xdr:to>
    <xdr:graphicFrame macro="">
      <xdr:nvGraphicFramePr>
        <xdr:cNvPr id="14" name="Chart 13">
          <a:extLst>
            <a:ext uri="{FF2B5EF4-FFF2-40B4-BE49-F238E27FC236}">
              <a16:creationId xmlns:a16="http://schemas.microsoft.com/office/drawing/2014/main" id="{D6066C2C-20F7-4362-9CCA-A00BE3522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609599</xdr:colOff>
      <xdr:row>14</xdr:row>
      <xdr:rowOff>0</xdr:rowOff>
    </xdr:from>
    <xdr:to>
      <xdr:col>27</xdr:col>
      <xdr:colOff>574430</xdr:colOff>
      <xdr:row>31</xdr:row>
      <xdr:rowOff>35169</xdr:rowOff>
    </xdr:to>
    <xdr:graphicFrame macro="">
      <xdr:nvGraphicFramePr>
        <xdr:cNvPr id="15" name="Chart 14">
          <a:extLst>
            <a:ext uri="{FF2B5EF4-FFF2-40B4-BE49-F238E27FC236}">
              <a16:creationId xmlns:a16="http://schemas.microsoft.com/office/drawing/2014/main" id="{F5C79209-4962-44E8-9F95-16F72155D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609599</xdr:colOff>
      <xdr:row>31</xdr:row>
      <xdr:rowOff>128954</xdr:rowOff>
    </xdr:from>
    <xdr:to>
      <xdr:col>14</xdr:col>
      <xdr:colOff>597876</xdr:colOff>
      <xdr:row>52</xdr:row>
      <xdr:rowOff>11723</xdr:rowOff>
    </xdr:to>
    <xdr:graphicFrame macro="">
      <xdr:nvGraphicFramePr>
        <xdr:cNvPr id="21" name="Chart 20">
          <a:extLst>
            <a:ext uri="{FF2B5EF4-FFF2-40B4-BE49-F238E27FC236}">
              <a16:creationId xmlns:a16="http://schemas.microsoft.com/office/drawing/2014/main" id="{1746F4C4-A2C4-4932-88FC-F78960353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586154</xdr:colOff>
      <xdr:row>8</xdr:row>
      <xdr:rowOff>11723</xdr:rowOff>
    </xdr:from>
    <xdr:to>
      <xdr:col>27</xdr:col>
      <xdr:colOff>586154</xdr:colOff>
      <xdr:row>10</xdr:row>
      <xdr:rowOff>11723</xdr:rowOff>
    </xdr:to>
    <xdr:sp macro="" textlink="">
      <xdr:nvSpPr>
        <xdr:cNvPr id="23" name="Rectangle: Rounded Corners 22">
          <a:extLst>
            <a:ext uri="{FF2B5EF4-FFF2-40B4-BE49-F238E27FC236}">
              <a16:creationId xmlns:a16="http://schemas.microsoft.com/office/drawing/2014/main" id="{0D33E525-603D-43B5-95B3-EF8AFA8DF316}"/>
            </a:ext>
          </a:extLst>
        </xdr:cNvPr>
        <xdr:cNvSpPr/>
      </xdr:nvSpPr>
      <xdr:spPr>
        <a:xfrm>
          <a:off x="14606954" y="1512277"/>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BEST</a:t>
          </a:r>
          <a:r>
            <a:rPr lang="en-IN" sz="2000" b="1" baseline="0">
              <a:solidFill>
                <a:srgbClr val="E9533A"/>
              </a:solidFill>
              <a:latin typeface="+mj-lt"/>
            </a:rPr>
            <a:t> PRODUCT</a:t>
          </a:r>
          <a:endParaRPr lang="en-IN" sz="2000" b="1">
            <a:solidFill>
              <a:srgbClr val="E9533A"/>
            </a:solidFill>
            <a:latin typeface="+mj-lt"/>
          </a:endParaRPr>
        </a:p>
      </xdr:txBody>
    </xdr:sp>
    <xdr:clientData/>
  </xdr:twoCellAnchor>
  <xdr:twoCellAnchor>
    <xdr:from>
      <xdr:col>23</xdr:col>
      <xdr:colOff>597877</xdr:colOff>
      <xdr:row>10</xdr:row>
      <xdr:rowOff>11723</xdr:rowOff>
    </xdr:from>
    <xdr:to>
      <xdr:col>27</xdr:col>
      <xdr:colOff>597877</xdr:colOff>
      <xdr:row>11</xdr:row>
      <xdr:rowOff>164123</xdr:rowOff>
    </xdr:to>
    <xdr:sp macro="" textlink="Calculations!G3">
      <xdr:nvSpPr>
        <xdr:cNvPr id="24" name="Rectangle: Rounded Corners 23">
          <a:extLst>
            <a:ext uri="{FF2B5EF4-FFF2-40B4-BE49-F238E27FC236}">
              <a16:creationId xmlns:a16="http://schemas.microsoft.com/office/drawing/2014/main" id="{865038D4-B52D-441E-8BAC-FDD530A0B8A6}"/>
            </a:ext>
          </a:extLst>
        </xdr:cNvPr>
        <xdr:cNvSpPr/>
      </xdr:nvSpPr>
      <xdr:spPr>
        <a:xfrm>
          <a:off x="14618677" y="1887415"/>
          <a:ext cx="2438400" cy="3399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AF539F-C1FF-4DC6-B69B-D94D9FAF0CA5}" type="TxLink">
            <a:rPr lang="en-US" sz="1800" b="1" i="0" u="none" strike="noStrike">
              <a:solidFill>
                <a:srgbClr val="00B050"/>
              </a:solidFill>
              <a:latin typeface="Aptos Narrow"/>
              <a:ea typeface="+mn-ea"/>
              <a:cs typeface="+mn-cs"/>
            </a:rPr>
            <a:pPr marL="0" indent="0" algn="ctr"/>
            <a:t>Premier III</a:t>
          </a:fld>
          <a:endParaRPr lang="en-IN" sz="1800" b="1" i="0" u="none" strike="noStrike">
            <a:solidFill>
              <a:srgbClr val="00B050"/>
            </a:solidFill>
            <a:latin typeface="Aptos Narrow"/>
            <a:ea typeface="+mn-ea"/>
            <a:cs typeface="+mn-cs"/>
          </a:endParaRPr>
        </a:p>
      </xdr:txBody>
    </xdr:sp>
    <xdr:clientData/>
  </xdr:twoCellAnchor>
  <xdr:twoCellAnchor>
    <xdr:from>
      <xdr:col>23</xdr:col>
      <xdr:colOff>586154</xdr:colOff>
      <xdr:row>7</xdr:row>
      <xdr:rowOff>175845</xdr:rowOff>
    </xdr:from>
    <xdr:to>
      <xdr:col>28</xdr:col>
      <xdr:colOff>0</xdr:colOff>
      <xdr:row>12</xdr:row>
      <xdr:rowOff>-1</xdr:rowOff>
    </xdr:to>
    <xdr:sp macro="" textlink="">
      <xdr:nvSpPr>
        <xdr:cNvPr id="22" name="Rectangle: Rounded Corners 21">
          <a:extLst>
            <a:ext uri="{FF2B5EF4-FFF2-40B4-BE49-F238E27FC236}">
              <a16:creationId xmlns:a16="http://schemas.microsoft.com/office/drawing/2014/main" id="{69B77C49-0D8F-4456-9735-13D406793A08}"/>
            </a:ext>
          </a:extLst>
        </xdr:cNvPr>
        <xdr:cNvSpPr/>
      </xdr:nvSpPr>
      <xdr:spPr>
        <a:xfrm>
          <a:off x="14606954" y="1488830"/>
          <a:ext cx="2461846" cy="762000"/>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609599</xdr:colOff>
      <xdr:row>31</xdr:row>
      <xdr:rowOff>105508</xdr:rowOff>
    </xdr:from>
    <xdr:to>
      <xdr:col>28</xdr:col>
      <xdr:colOff>128954</xdr:colOff>
      <xdr:row>51</xdr:row>
      <xdr:rowOff>179948</xdr:rowOff>
    </xdr:to>
    <xdr:graphicFrame macro="">
      <xdr:nvGraphicFramePr>
        <xdr:cNvPr id="25" name="Chart 24">
          <a:extLst>
            <a:ext uri="{FF2B5EF4-FFF2-40B4-BE49-F238E27FC236}">
              <a16:creationId xmlns:a16="http://schemas.microsoft.com/office/drawing/2014/main" id="{D49EC39C-712A-4A47-B506-01AFAB644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633046</xdr:colOff>
      <xdr:row>8</xdr:row>
      <xdr:rowOff>11723</xdr:rowOff>
    </xdr:from>
    <xdr:to>
      <xdr:col>30</xdr:col>
      <xdr:colOff>445477</xdr:colOff>
      <xdr:row>10</xdr:row>
      <xdr:rowOff>11723</xdr:rowOff>
    </xdr:to>
    <xdr:sp macro="" textlink="">
      <xdr:nvSpPr>
        <xdr:cNvPr id="19" name="Rectangle: Rounded Corners 18">
          <a:extLst>
            <a:ext uri="{FF2B5EF4-FFF2-40B4-BE49-F238E27FC236}">
              <a16:creationId xmlns:a16="http://schemas.microsoft.com/office/drawing/2014/main" id="{7647AA5A-C361-4AA3-9F73-D6DCEE4B764B}"/>
            </a:ext>
          </a:extLst>
        </xdr:cNvPr>
        <xdr:cNvSpPr/>
      </xdr:nvSpPr>
      <xdr:spPr>
        <a:xfrm>
          <a:off x="17701846" y="1512277"/>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BEST</a:t>
          </a:r>
          <a:r>
            <a:rPr lang="en-IN" sz="2000" b="1" baseline="0">
              <a:solidFill>
                <a:srgbClr val="E9533A"/>
              </a:solidFill>
              <a:latin typeface="+mj-lt"/>
            </a:rPr>
            <a:t> SEGMENT</a:t>
          </a:r>
          <a:endParaRPr lang="en-IN" sz="2000" b="1">
            <a:solidFill>
              <a:srgbClr val="E9533A"/>
            </a:solidFill>
            <a:latin typeface="+mj-lt"/>
          </a:endParaRPr>
        </a:p>
      </xdr:txBody>
    </xdr:sp>
    <xdr:clientData/>
  </xdr:twoCellAnchor>
  <xdr:twoCellAnchor>
    <xdr:from>
      <xdr:col>28</xdr:col>
      <xdr:colOff>633046</xdr:colOff>
      <xdr:row>9</xdr:row>
      <xdr:rowOff>175846</xdr:rowOff>
    </xdr:from>
    <xdr:to>
      <xdr:col>30</xdr:col>
      <xdr:colOff>445477</xdr:colOff>
      <xdr:row>11</xdr:row>
      <xdr:rowOff>175845</xdr:rowOff>
    </xdr:to>
    <xdr:sp macro="" textlink="Calculations!G4">
      <xdr:nvSpPr>
        <xdr:cNvPr id="20" name="Rectangle: Rounded Corners 19">
          <a:extLst>
            <a:ext uri="{FF2B5EF4-FFF2-40B4-BE49-F238E27FC236}">
              <a16:creationId xmlns:a16="http://schemas.microsoft.com/office/drawing/2014/main" id="{1B73C98C-3EBB-4B9C-BBF1-204C9AC786FE}"/>
            </a:ext>
          </a:extLst>
        </xdr:cNvPr>
        <xdr:cNvSpPr/>
      </xdr:nvSpPr>
      <xdr:spPr>
        <a:xfrm>
          <a:off x="17701846" y="1863969"/>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A8E857-E43F-477B-BBCF-FAEA57EEF2BE}" type="TxLink">
            <a:rPr lang="en-US" sz="1800" b="1" i="0" u="none" strike="noStrike">
              <a:solidFill>
                <a:srgbClr val="00B050"/>
              </a:solidFill>
              <a:latin typeface="Aptos Narrow"/>
              <a:ea typeface="+mn-ea"/>
              <a:cs typeface="+mn-cs"/>
            </a:rPr>
            <a:pPr marL="0" indent="0" algn="ctr"/>
            <a:t>Soccer</a:t>
          </a:fld>
          <a:endParaRPr lang="en-IN" sz="1800" b="1" i="0" u="none" strike="noStrike">
            <a:solidFill>
              <a:srgbClr val="00B050"/>
            </a:solidFill>
            <a:latin typeface="Aptos Narrow"/>
            <a:ea typeface="+mn-ea"/>
            <a:cs typeface="+mn-cs"/>
          </a:endParaRPr>
        </a:p>
      </xdr:txBody>
    </xdr:sp>
    <xdr:clientData/>
  </xdr:twoCellAnchor>
  <xdr:twoCellAnchor>
    <xdr:from>
      <xdr:col>28</xdr:col>
      <xdr:colOff>621323</xdr:colOff>
      <xdr:row>7</xdr:row>
      <xdr:rowOff>164122</xdr:rowOff>
    </xdr:from>
    <xdr:to>
      <xdr:col>30</xdr:col>
      <xdr:colOff>457200</xdr:colOff>
      <xdr:row>11</xdr:row>
      <xdr:rowOff>175845</xdr:rowOff>
    </xdr:to>
    <xdr:sp macro="" textlink="">
      <xdr:nvSpPr>
        <xdr:cNvPr id="8" name="Rectangle: Rounded Corners 7">
          <a:extLst>
            <a:ext uri="{FF2B5EF4-FFF2-40B4-BE49-F238E27FC236}">
              <a16:creationId xmlns:a16="http://schemas.microsoft.com/office/drawing/2014/main" id="{8B96496B-D71F-4BA2-98C1-7CF069666672}"/>
            </a:ext>
          </a:extLst>
        </xdr:cNvPr>
        <xdr:cNvSpPr/>
      </xdr:nvSpPr>
      <xdr:spPr>
        <a:xfrm>
          <a:off x="17690123" y="1477107"/>
          <a:ext cx="2461846" cy="762000"/>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15</xdr:row>
      <xdr:rowOff>243254</xdr:rowOff>
    </xdr:from>
    <xdr:to>
      <xdr:col>3</xdr:col>
      <xdr:colOff>0</xdr:colOff>
      <xdr:row>20</xdr:row>
      <xdr:rowOff>234462</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1BDBD649-AC73-D8AD-41AA-13C24FA7646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138854"/>
              <a:ext cx="1828800" cy="1339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219807</xdr:rowOff>
    </xdr:from>
    <xdr:to>
      <xdr:col>3</xdr:col>
      <xdr:colOff>0</xdr:colOff>
      <xdr:row>25</xdr:row>
      <xdr:rowOff>179948</xdr:rowOff>
    </xdr:to>
    <mc:AlternateContent xmlns:mc="http://schemas.openxmlformats.org/markup-compatibility/2006" xmlns:a14="http://schemas.microsoft.com/office/drawing/2010/main">
      <mc:Choice Requires="a14">
        <xdr:graphicFrame macro="">
          <xdr:nvGraphicFramePr>
            <xdr:cNvPr id="28" name="Sales_Channel">
              <a:extLst>
                <a:ext uri="{FF2B5EF4-FFF2-40B4-BE49-F238E27FC236}">
                  <a16:creationId xmlns:a16="http://schemas.microsoft.com/office/drawing/2014/main" id="{940EDF18-D22F-E625-6A29-3CF0FA87FCA1}"/>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0" y="4463561"/>
              <a:ext cx="1828800" cy="980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161193</xdr:rowOff>
    </xdr:from>
    <xdr:to>
      <xdr:col>3</xdr:col>
      <xdr:colOff>0</xdr:colOff>
      <xdr:row>36</xdr:row>
      <xdr:rowOff>105507</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D548694E-AA25-04B4-C6B4-9EF8BA5FEF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424855"/>
              <a:ext cx="1828800" cy="2007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46893</xdr:rowOff>
    </xdr:from>
    <xdr:to>
      <xdr:col>3</xdr:col>
      <xdr:colOff>0</xdr:colOff>
      <xdr:row>42</xdr:row>
      <xdr:rowOff>175847</xdr:rowOff>
    </xdr:to>
    <mc:AlternateContent xmlns:mc="http://schemas.openxmlformats.org/markup-compatibility/2006" xmlns:a14="http://schemas.microsoft.com/office/drawing/2010/main">
      <mc:Choice Requires="a14">
        <xdr:graphicFrame macro="">
          <xdr:nvGraphicFramePr>
            <xdr:cNvPr id="33" name="Year 1">
              <a:extLst>
                <a:ext uri="{FF2B5EF4-FFF2-40B4-BE49-F238E27FC236}">
                  <a16:creationId xmlns:a16="http://schemas.microsoft.com/office/drawing/2014/main" id="{07B26ED1-4BC0-43C5-86F2-504E86BF691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7455878"/>
              <a:ext cx="1828800" cy="1254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161192</xdr:rowOff>
    </xdr:from>
    <xdr:to>
      <xdr:col>3</xdr:col>
      <xdr:colOff>0</xdr:colOff>
      <xdr:row>52</xdr:row>
      <xdr:rowOff>11723</xdr:rowOff>
    </xdr:to>
    <mc:AlternateContent xmlns:mc="http://schemas.openxmlformats.org/markup-compatibility/2006" xmlns:a14="http://schemas.microsoft.com/office/drawing/2010/main">
      <mc:Choice Requires="a14">
        <xdr:graphicFrame macro="">
          <xdr:nvGraphicFramePr>
            <xdr:cNvPr id="34" name="Discount_Bucket">
              <a:extLst>
                <a:ext uri="{FF2B5EF4-FFF2-40B4-BE49-F238E27FC236}">
                  <a16:creationId xmlns:a16="http://schemas.microsoft.com/office/drawing/2014/main" id="{8398CDAA-6EBE-4C32-AEEF-8ED9A9749CB7}"/>
                </a:ext>
              </a:extLst>
            </xdr:cNvPr>
            <xdr:cNvGraphicFramePr/>
          </xdr:nvGraphicFramePr>
          <xdr:xfrm>
            <a:off x="0" y="0"/>
            <a:ext cx="0" cy="0"/>
          </xdr:xfrm>
          <a:graphic>
            <a:graphicData uri="http://schemas.microsoft.com/office/drawing/2010/slicer">
              <sle:slicer xmlns:sle="http://schemas.microsoft.com/office/drawing/2010/slicer" name="Discount_Bucket"/>
            </a:graphicData>
          </a:graphic>
        </xdr:graphicFrame>
      </mc:Choice>
      <mc:Fallback xmlns="">
        <xdr:sp macro="" textlink="">
          <xdr:nvSpPr>
            <xdr:cNvPr id="0" name=""/>
            <xdr:cNvSpPr>
              <a:spLocks noTextEdit="1"/>
            </xdr:cNvSpPr>
          </xdr:nvSpPr>
          <xdr:spPr>
            <a:xfrm>
              <a:off x="0" y="8695592"/>
              <a:ext cx="1828800" cy="1726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11722</xdr:colOff>
      <xdr:row>10</xdr:row>
      <xdr:rowOff>117231</xdr:rowOff>
    </xdr:from>
    <xdr:to>
      <xdr:col>2</xdr:col>
      <xdr:colOff>609599</xdr:colOff>
      <xdr:row>14</xdr:row>
      <xdr:rowOff>46893</xdr:rowOff>
    </xdr:to>
    <xdr:sp macro="" textlink="">
      <xdr:nvSpPr>
        <xdr:cNvPr id="35" name="TextBox 34">
          <a:extLst>
            <a:ext uri="{FF2B5EF4-FFF2-40B4-BE49-F238E27FC236}">
              <a16:creationId xmlns:a16="http://schemas.microsoft.com/office/drawing/2014/main" id="{A9DE345B-88FD-03FD-E7B3-08D20F677F88}"/>
            </a:ext>
          </a:extLst>
        </xdr:cNvPr>
        <xdr:cNvSpPr txBox="1"/>
      </xdr:nvSpPr>
      <xdr:spPr>
        <a:xfrm>
          <a:off x="11722" y="1992923"/>
          <a:ext cx="1817077" cy="679939"/>
        </a:xfrm>
        <a:prstGeom prst="rect">
          <a:avLst/>
        </a:prstGeom>
        <a:solidFill>
          <a:srgbClr val="E953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IN" sz="2400" b="1">
              <a:solidFill>
                <a:srgbClr val="FFFFFF"/>
              </a:solidFill>
              <a:latin typeface="+mj-lt"/>
              <a:ea typeface="+mn-ea"/>
              <a:cs typeface="+mn-cs"/>
            </a:rPr>
            <a:t>FILTERS</a:t>
          </a:r>
          <a:endParaRPr lang="en-IN" sz="3600" b="1">
            <a:solidFill>
              <a:srgbClr val="FFFFFF"/>
            </a:solidFill>
            <a:latin typeface="+mj-lt"/>
            <a:ea typeface="+mn-ea"/>
            <a:cs typeface="+mn-cs"/>
          </a:endParaRPr>
        </a:p>
      </xdr:txBody>
    </xdr:sp>
    <xdr:clientData/>
  </xdr:twoCellAnchor>
  <xdr:twoCellAnchor editAs="oneCell">
    <xdr:from>
      <xdr:col>0</xdr:col>
      <xdr:colOff>0</xdr:colOff>
      <xdr:row>9</xdr:row>
      <xdr:rowOff>175846</xdr:rowOff>
    </xdr:from>
    <xdr:to>
      <xdr:col>1</xdr:col>
      <xdr:colOff>304800</xdr:colOff>
      <xdr:row>14</xdr:row>
      <xdr:rowOff>70338</xdr:rowOff>
    </xdr:to>
    <xdr:pic>
      <xdr:nvPicPr>
        <xdr:cNvPr id="37" name="Graphic 36" descr="Filter outline">
          <a:extLst>
            <a:ext uri="{FF2B5EF4-FFF2-40B4-BE49-F238E27FC236}">
              <a16:creationId xmlns:a16="http://schemas.microsoft.com/office/drawing/2014/main" id="{361181F6-C086-FD0A-88BF-6DF11CC13AE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1863969"/>
          <a:ext cx="914400" cy="914400"/>
        </a:xfrm>
        <a:prstGeom prst="rect">
          <a:avLst/>
        </a:prstGeom>
      </xdr:spPr>
    </xdr:pic>
    <xdr:clientData/>
  </xdr:twoCellAnchor>
  <xdr:twoCellAnchor>
    <xdr:from>
      <xdr:col>28</xdr:col>
      <xdr:colOff>304800</xdr:colOff>
      <xdr:row>24</xdr:row>
      <xdr:rowOff>0</xdr:rowOff>
    </xdr:from>
    <xdr:to>
      <xdr:col>32</xdr:col>
      <xdr:colOff>339969</xdr:colOff>
      <xdr:row>54</xdr:row>
      <xdr:rowOff>35169</xdr:rowOff>
    </xdr:to>
    <xdr:graphicFrame macro="">
      <xdr:nvGraphicFramePr>
        <xdr:cNvPr id="26" name="Chart 25">
          <a:extLst>
            <a:ext uri="{FF2B5EF4-FFF2-40B4-BE49-F238E27FC236}">
              <a16:creationId xmlns:a16="http://schemas.microsoft.com/office/drawing/2014/main" id="{53DFF9D3-D023-466E-8D0B-1C5040474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Vardhan" refreshedDate="46128.092874421294" createdVersion="8" refreshedVersion="8" minRefreshableVersion="3" recordCount="482" xr:uid="{596FAF5C-42D4-4086-99FA-66BD6445C6B3}">
  <cacheSource type="worksheet">
    <worksheetSource name="Nike_Sales_Cleaned"/>
  </cacheSource>
  <cacheFields count="21">
    <cacheField name="Order_ID" numFmtId="0">
      <sharedItems containsSemiMixedTypes="0" containsString="0" containsNumber="1" containsInteger="1" minValue="2001" maxValue="4495"/>
    </cacheField>
    <cacheField name="Gender" numFmtId="0">
      <sharedItems count="3">
        <s v="Women"/>
        <s v="Kids"/>
        <s v="Men"/>
      </sharedItems>
    </cacheField>
    <cacheField name="Product_Line" numFmtId="0">
      <sharedItems count="5">
        <s v="Soccer"/>
        <s v="Lifestyle"/>
        <s v="Basketball"/>
        <s v="Training"/>
        <s v="Running"/>
      </sharedItems>
    </cacheField>
    <cacheField name="Product_Name" numFmtId="0">
      <sharedItems count="20">
        <s v="Tiempo Legend"/>
        <s v="Waffle One"/>
        <s v="Air Jordan"/>
        <s v="Blazer Mid"/>
        <s v="Zoom Freak"/>
        <s v="SuperRep Go"/>
        <s v="Dunk Low"/>
        <s v="Flex Trainer"/>
        <s v="Air Force 1"/>
        <s v="React Infinity"/>
        <s v="LeBron 20"/>
        <s v="Metcon 7"/>
        <s v="Free RN"/>
        <s v="Pegasus Turbo"/>
        <s v="Mercurial Superfly"/>
        <s v="Phantom GT"/>
        <s v="Air Zoom"/>
        <s v="Premier III"/>
        <s v="ZoomX Invincible"/>
        <s v="Kyrie Flytrap"/>
      </sharedItems>
    </cacheField>
    <cacheField name="Size" numFmtId="0">
      <sharedItems/>
    </cacheField>
    <cacheField name="Units_Sold" numFmtId="0">
      <sharedItems containsSemiMixedTypes="0" containsString="0" containsNumber="1" containsInteger="1" minValue="1" maxValue="4"/>
    </cacheField>
    <cacheField name="MRP" numFmtId="0">
      <sharedItems containsSemiMixedTypes="0" containsString="0" containsNumber="1" minValue="4904.79" maxValue="7845.46"/>
    </cacheField>
    <cacheField name="Discount" numFmtId="0">
      <sharedItems containsSemiMixedTypes="0" containsString="0" containsNumber="1" minValue="0" maxValue="1"/>
    </cacheField>
    <cacheField name="Selling_Price" numFmtId="0">
      <sharedItems containsSemiMixedTypes="0" containsString="0" containsNumber="1" minValue="4903.79" maxValue="7845.42"/>
    </cacheField>
    <cacheField name="Revenue" numFmtId="0">
      <sharedItems containsSemiMixedTypes="0" containsString="0" containsNumber="1" minValue="4903.79" maxValue="31381.68"/>
    </cacheField>
    <cacheField name="Order_Date" numFmtId="14">
      <sharedItems containsSemiMixedTypes="0" containsNonDate="0" containsDate="1" containsString="0" minDate="2023-07-28T00:00:00" maxDate="2025-07-23T00:00:00" count="316">
        <d v="2024-07-09T00:00:00"/>
        <d v="2025-01-16T00:00:00"/>
        <d v="2024-09-14T00:00:00"/>
        <d v="2024-07-11T00:00:00"/>
        <d v="2025-03-17T00:00:00"/>
        <d v="2024-09-06T00:00:00"/>
        <d v="2025-07-14T00:00:00"/>
        <d v="2024-08-10T00:00:00"/>
        <d v="2025-01-12T00:00:00"/>
        <d v="2024-11-03T00:00:00"/>
        <d v="2025-03-07T00:00:00"/>
        <d v="2024-06-13T00:00:00"/>
        <d v="2025-04-06T00:00:00"/>
        <d v="2024-10-08T00:00:00"/>
        <d v="2024-12-02T00:00:00"/>
        <d v="2024-10-02T00:00:00"/>
        <d v="2024-05-31T00:00:00"/>
        <d v="2025-03-02T00:00:00"/>
        <d v="2025-05-06T00:00:00"/>
        <d v="2023-12-24T00:00:00"/>
        <d v="2025-04-26T00:00:00"/>
        <d v="2024-11-10T00:00:00"/>
        <d v="2024-12-24T00:00:00"/>
        <d v="2025-02-01T00:00:00"/>
        <d v="2025-07-11T00:00:00"/>
        <d v="2024-08-30T00:00:00"/>
        <d v="2024-12-25T00:00:00"/>
        <d v="2023-09-21T00:00:00"/>
        <d v="2024-09-15T00:00:00"/>
        <d v="2025-06-14T00:00:00"/>
        <d v="2025-07-06T00:00:00"/>
        <d v="2025-05-27T00:00:00"/>
        <d v="2024-11-11T00:00:00"/>
        <d v="2024-01-26T00:00:00"/>
        <d v="2025-01-06T00:00:00"/>
        <d v="2025-06-08T00:00:00"/>
        <d v="2024-09-28T00:00:00"/>
        <d v="2025-06-30T00:00:00"/>
        <d v="2024-10-06T00:00:00"/>
        <d v="2025-01-05T00:00:00"/>
        <d v="2024-12-16T00:00:00"/>
        <d v="2024-01-06T00:00:00"/>
        <d v="2024-12-21T00:00:00"/>
        <d v="2025-02-26T00:00:00"/>
        <d v="2024-01-16T00:00:00"/>
        <d v="2025-02-09T00:00:00"/>
        <d v="2024-12-12T00:00:00"/>
        <d v="2023-11-16T00:00:00"/>
        <d v="2024-07-14T00:00:00"/>
        <d v="2024-10-21T00:00:00"/>
        <d v="2025-06-13T00:00:00"/>
        <d v="2025-07-13T00:00:00"/>
        <d v="2024-08-21T00:00:00"/>
        <d v="2025-05-13T00:00:00"/>
        <d v="2024-08-17T00:00:00"/>
        <d v="2025-06-18T00:00:00"/>
        <d v="2024-09-25T00:00:00"/>
        <d v="2024-12-09T00:00:00"/>
        <d v="2025-04-04T00:00:00"/>
        <d v="2024-12-10T00:00:00"/>
        <d v="2025-03-21T00:00:00"/>
        <d v="2024-11-09T00:00:00"/>
        <d v="2025-06-05T00:00:00"/>
        <d v="2024-06-06T00:00:00"/>
        <d v="2023-10-22T00:00:00"/>
        <d v="2024-08-07T00:00:00"/>
        <d v="2023-10-25T00:00:00"/>
        <d v="2024-07-29T00:00:00"/>
        <d v="2024-07-26T00:00:00"/>
        <d v="2025-02-24T00:00:00"/>
        <d v="2024-11-12T00:00:00"/>
        <d v="2025-02-04T00:00:00"/>
        <d v="2024-04-09T00:00:00"/>
        <d v="2024-03-09T00:00:00"/>
        <d v="2024-09-02T00:00:00"/>
        <d v="2024-10-03T00:00:00"/>
        <d v="2025-07-08T00:00:00"/>
        <d v="2024-10-09T00:00:00"/>
        <d v="2024-11-17T00:00:00"/>
        <d v="2023-09-17T00:00:00"/>
        <d v="2024-07-22T00:00:00"/>
        <d v="2025-03-10T00:00:00"/>
        <d v="2024-12-07T00:00:00"/>
        <d v="2025-07-09T00:00:00"/>
        <d v="2024-11-15T00:00:00"/>
        <d v="2024-10-26T00:00:00"/>
        <d v="2024-07-31T00:00:00"/>
        <d v="2025-03-15T00:00:00"/>
        <d v="2025-05-25T00:00:00"/>
        <d v="2023-09-30T00:00:00"/>
        <d v="2024-11-04T00:00:00"/>
        <d v="2024-06-30T00:00:00"/>
        <d v="2025-03-22T00:00:00"/>
        <d v="2023-11-05T00:00:00"/>
        <d v="2025-04-17T00:00:00"/>
        <d v="2025-03-31T00:00:00"/>
        <d v="2024-11-26T00:00:00"/>
        <d v="2023-11-29T00:00:00"/>
        <d v="2024-03-13T00:00:00"/>
        <d v="2024-10-11T00:00:00"/>
        <d v="2025-05-26T00:00:00"/>
        <d v="2024-02-13T00:00:00"/>
        <d v="2025-02-18T00:00:00"/>
        <d v="2024-08-01T00:00:00"/>
        <d v="2025-06-10T00:00:00"/>
        <d v="2025-02-27T00:00:00"/>
        <d v="2025-01-25T00:00:00"/>
        <d v="2023-09-08T00:00:00"/>
        <d v="2025-05-03T00:00:00"/>
        <d v="2025-01-13T00:00:00"/>
        <d v="2025-02-10T00:00:00"/>
        <d v="2025-04-13T00:00:00"/>
        <d v="2024-09-18T00:00:00"/>
        <d v="2024-08-24T00:00:00"/>
        <d v="2025-07-03T00:00:00"/>
        <d v="2025-05-10T00:00:00"/>
        <d v="2024-12-06T00:00:00"/>
        <d v="2024-09-17T00:00:00"/>
        <d v="2024-02-23T00:00:00"/>
        <d v="2024-09-27T00:00:00"/>
        <d v="2025-03-24T00:00:00"/>
        <d v="2024-01-22T00:00:00"/>
        <d v="2024-05-19T00:00:00"/>
        <d v="2025-06-29T00:00:00"/>
        <d v="2024-08-02T00:00:00"/>
        <d v="2024-11-27T00:00:00"/>
        <d v="2024-10-20T00:00:00"/>
        <d v="2024-10-27T00:00:00"/>
        <d v="2025-04-07T00:00:00"/>
        <d v="2025-06-17T00:00:00"/>
        <d v="2024-12-11T00:00:00"/>
        <d v="2025-03-23T00:00:00"/>
        <d v="2025-06-15T00:00:00"/>
        <d v="2024-08-04T00:00:00"/>
        <d v="2024-08-28T00:00:00"/>
        <d v="2025-06-12T00:00:00"/>
        <d v="2025-05-22T00:00:00"/>
        <d v="2025-03-08T00:00:00"/>
        <d v="2025-03-28T00:00:00"/>
        <d v="2025-05-11T00:00:00"/>
        <d v="2025-01-03T00:00:00"/>
        <d v="2023-09-03T00:00:00"/>
        <d v="2024-08-31T00:00:00"/>
        <d v="2024-01-19T00:00:00"/>
        <d v="2024-02-10T00:00:00"/>
        <d v="2024-10-01T00:00:00"/>
        <d v="2025-01-24T00:00:00"/>
        <d v="2025-01-22T00:00:00"/>
        <d v="2024-10-16T00:00:00"/>
        <d v="2024-08-05T00:00:00"/>
        <d v="2024-07-27T00:00:00"/>
        <d v="2024-11-02T00:00:00"/>
        <d v="2025-01-19T00:00:00"/>
        <d v="2025-01-08T00:00:00"/>
        <d v="2025-01-09T00:00:00"/>
        <d v="2025-02-20T00:00:00"/>
        <d v="2024-10-05T00:00:00"/>
        <d v="2025-07-22T00:00:00"/>
        <d v="2024-09-16T00:00:00"/>
        <d v="2024-11-24T00:00:00"/>
        <d v="2025-04-01T00:00:00"/>
        <d v="2025-05-17T00:00:00"/>
        <d v="2023-09-26T00:00:00"/>
        <d v="2025-04-29T00:00:00"/>
        <d v="2024-08-25T00:00:00"/>
        <d v="2024-03-07T00:00:00"/>
        <d v="2024-09-07T00:00:00"/>
        <d v="2024-05-13T00:00:00"/>
        <d v="2025-01-14T00:00:00"/>
        <d v="2025-04-16T00:00:00"/>
        <d v="2025-01-10T00:00:00"/>
        <d v="2024-02-14T00:00:00"/>
        <d v="2024-10-13T00:00:00"/>
        <d v="2023-08-03T00:00:00"/>
        <d v="2025-06-16T00:00:00"/>
        <d v="2024-10-25T00:00:00"/>
        <d v="2025-01-29T00:00:00"/>
        <d v="2023-10-11T00:00:00"/>
        <d v="2024-10-15T00:00:00"/>
        <d v="2025-04-11T00:00:00"/>
        <d v="2025-07-17T00:00:00"/>
        <d v="2025-06-19T00:00:00"/>
        <d v="2025-04-20T00:00:00"/>
        <d v="2024-03-05T00:00:00"/>
        <d v="2025-06-22T00:00:00"/>
        <d v="2024-11-30T00:00:00"/>
        <d v="2025-03-27T00:00:00"/>
        <d v="2024-11-21T00:00:00"/>
        <d v="2024-10-07T00:00:00"/>
        <d v="2024-08-23T00:00:00"/>
        <d v="2024-12-29T00:00:00"/>
        <d v="2025-04-21T00:00:00"/>
        <d v="2024-02-24T00:00:00"/>
        <d v="2025-02-17T00:00:00"/>
        <d v="2025-02-28T00:00:00"/>
        <d v="2025-02-08T00:00:00"/>
        <d v="2025-03-16T00:00:00"/>
        <d v="2025-02-15T00:00:00"/>
        <d v="2024-08-16T00:00:00"/>
        <d v="2025-02-25T00:00:00"/>
        <d v="2024-03-26T00:00:00"/>
        <d v="2025-06-28T00:00:00"/>
        <d v="2025-02-23T00:00:00"/>
        <d v="2024-09-22T00:00:00"/>
        <d v="2024-10-18T00:00:00"/>
        <d v="2024-07-25T00:00:00"/>
        <d v="2024-12-18T00:00:00"/>
        <d v="2024-10-19T00:00:00"/>
        <d v="2025-04-18T00:00:00"/>
        <d v="2023-11-14T00:00:00"/>
        <d v="2024-10-10T00:00:00"/>
        <d v="2024-03-23T00:00:00"/>
        <d v="2025-03-13T00:00:00"/>
        <d v="2025-04-05T00:00:00"/>
        <d v="2025-01-15T00:00:00"/>
        <d v="2023-08-27T00:00:00"/>
        <d v="2024-09-08T00:00:00"/>
        <d v="2023-07-31T00:00:00"/>
        <d v="2025-01-21T00:00:00"/>
        <d v="2024-08-06T00:00:00"/>
        <d v="2024-12-03T00:00:00"/>
        <d v="2024-09-05T00:00:00"/>
        <d v="2025-05-08T00:00:00"/>
        <d v="2024-12-05T00:00:00"/>
        <d v="2025-04-25T00:00:00"/>
        <d v="2023-10-15T00:00:00"/>
        <d v="2024-12-04T00:00:00"/>
        <d v="2024-10-14T00:00:00"/>
        <d v="2025-03-12T00:00:00"/>
        <d v="2024-12-08T00:00:00"/>
        <d v="2025-06-25T00:00:00"/>
        <d v="2024-08-09T00:00:00"/>
        <d v="2024-03-17T00:00:00"/>
        <d v="2024-12-23T00:00:00"/>
        <d v="2025-02-14T00:00:00"/>
        <d v="2025-03-14T00:00:00"/>
        <d v="2025-07-01T00:00:00"/>
        <d v="2024-11-20T00:00:00"/>
        <d v="2023-12-19T00:00:00"/>
        <d v="2025-05-29T00:00:00"/>
        <d v="2024-09-10T00:00:00"/>
        <d v="2025-06-11T00:00:00"/>
        <d v="2024-11-13T00:00:00"/>
        <d v="2024-08-14T00:00:00"/>
        <d v="2025-01-27T00:00:00"/>
        <d v="2024-05-15T00:00:00"/>
        <d v="2025-05-15T00:00:00"/>
        <d v="2025-03-09T00:00:00"/>
        <d v="2025-02-21T00:00:00"/>
        <d v="2025-06-23T00:00:00"/>
        <d v="2023-11-21T00:00:00"/>
        <d v="2025-03-30T00:00:00"/>
        <d v="2024-09-29T00:00:00"/>
        <d v="2024-11-18T00:00:00"/>
        <d v="2024-02-22T00:00:00"/>
        <d v="2024-02-03T00:00:00"/>
        <d v="2024-11-23T00:00:00"/>
        <d v="2024-08-11T00:00:00"/>
        <d v="2025-05-09T00:00:00"/>
        <d v="2024-09-04T00:00:00"/>
        <d v="2024-08-29T00:00:00"/>
        <d v="2023-11-17T00:00:00"/>
        <d v="2024-08-27T00:00:00"/>
        <d v="2025-06-07T00:00:00"/>
        <d v="2024-11-01T00:00:00"/>
        <d v="2025-05-28T00:00:00"/>
        <d v="2025-05-07T00:00:00"/>
        <d v="2024-06-12T00:00:00"/>
        <d v="2024-10-29T00:00:00"/>
        <d v="2025-04-19T00:00:00"/>
        <d v="2024-11-08T00:00:00"/>
        <d v="2023-07-28T00:00:00"/>
        <d v="2024-04-27T00:00:00"/>
        <d v="2024-12-30T00:00:00"/>
        <d v="2024-12-20T00:00:00"/>
        <d v="2024-03-22T00:00:00"/>
        <d v="2024-08-18T00:00:00"/>
        <d v="2024-01-24T00:00:00"/>
        <d v="2023-12-15T00:00:00"/>
        <d v="2025-07-04T00:00:00"/>
        <d v="2025-07-05T00:00:00"/>
        <d v="2025-03-05T00:00:00"/>
        <d v="2024-09-24T00:00:00"/>
        <d v="2025-04-03T00:00:00"/>
        <d v="2025-07-16T00:00:00"/>
        <d v="2025-04-27T00:00:00"/>
        <d v="2023-11-25T00:00:00"/>
        <d v="2024-08-26T00:00:00"/>
        <d v="2025-05-21T00:00:00"/>
        <d v="2023-10-16T00:00:00"/>
        <d v="2025-07-18T00:00:00"/>
        <d v="2024-06-09T00:00:00"/>
        <d v="2023-09-02T00:00:00"/>
        <d v="2025-05-16T00:00:00"/>
        <d v="2023-12-03T00:00:00"/>
        <d v="2023-07-29T00:00:00"/>
        <d v="2025-01-31T00:00:00"/>
        <d v="2025-05-12T00:00:00"/>
        <d v="2025-06-20T00:00:00"/>
        <d v="2024-12-14T00:00:00"/>
        <d v="2024-01-07T00:00:00"/>
        <d v="2025-01-20T00:00:00"/>
        <d v="2025-02-05T00:00:00"/>
        <d v="2023-08-16T00:00:00"/>
        <d v="2024-03-04T00:00:00"/>
        <d v="2024-11-19T00:00:00"/>
        <d v="2024-06-29T00:00:00"/>
        <d v="2025-01-18T00:00:00"/>
        <d v="2025-04-08T00:00:00"/>
        <d v="2024-05-05T00:00:00"/>
        <d v="2024-10-04T00:00:00"/>
        <d v="2024-12-15T00:00:00"/>
        <d v="2025-01-26T00:00:00"/>
        <d v="2023-12-16T00:00:00"/>
        <d v="2024-07-16T00:00:00"/>
        <d v="2025-05-14T00:00:00"/>
      </sharedItems>
      <fieldGroup par="19"/>
    </cacheField>
    <cacheField name="Sales_Channel" numFmtId="0">
      <sharedItems count="2">
        <s v="Retail"/>
        <s v="Online"/>
      </sharedItems>
    </cacheField>
    <cacheField name="Region" numFmtId="0">
      <sharedItems count="6">
        <s v="Hyderabad"/>
        <s v="Pune"/>
        <s v="Mumbai"/>
        <s v="Bengaluru"/>
        <s v="Delhi"/>
        <s v="Kolkata"/>
      </sharedItems>
    </cacheField>
    <cacheField name="Profit" numFmtId="0">
      <sharedItems containsSemiMixedTypes="0" containsString="0" containsNumber="1" minValue="-1195.79" maxValue="3999.21"/>
    </cacheField>
    <cacheField name="Discount_Bucket" numFmtId="0">
      <sharedItems count="5">
        <s v="0-10%"/>
        <s v="50%+"/>
        <s v="10%-20%"/>
        <s v="30%-50%"/>
        <s v="20%-30%"/>
      </sharedItems>
    </cacheField>
    <cacheField name="Year" numFmtId="0">
      <sharedItems containsSemiMixedTypes="0" containsString="0" containsNumber="1" containsInteger="1" minValue="2023" maxValue="2025" count="3">
        <n v="2024"/>
        <n v="2025"/>
        <n v="2023"/>
      </sharedItems>
    </cacheField>
    <cacheField name="Profit_Margin " numFmtId="0">
      <sharedItems containsSemiMixedTypes="0" containsString="0" containsNumber="1" minValue="-0.20941909758577401" maxValue="0.80940456259342264"/>
    </cacheField>
    <cacheField name="Months (Order_Date)" numFmtId="0" databaseField="0">
      <fieldGroup base="10">
        <rangePr groupBy="months" startDate="2023-07-28T00:00:00" endDate="2025-07-23T00:00:00"/>
        <groupItems count="14">
          <s v="&lt;28-07-2023"/>
          <s v="Jan"/>
          <s v="Feb"/>
          <s v="Mar"/>
          <s v="Apr"/>
          <s v="May"/>
          <s v="Jun"/>
          <s v="Jul"/>
          <s v="Aug"/>
          <s v="Sep"/>
          <s v="Oct"/>
          <s v="Nov"/>
          <s v="Dec"/>
          <s v="&gt;23-07-2025"/>
        </groupItems>
      </fieldGroup>
    </cacheField>
    <cacheField name="Quarters (Order_Date)" numFmtId="0" databaseField="0">
      <fieldGroup base="10">
        <rangePr groupBy="quarters" startDate="2023-07-28T00:00:00" endDate="2025-07-23T00:00:00"/>
        <groupItems count="6">
          <s v="&lt;28-07-2023"/>
          <s v="Qtr1"/>
          <s v="Qtr2"/>
          <s v="Qtr3"/>
          <s v="Qtr4"/>
          <s v="&gt;23-07-2025"/>
        </groupItems>
      </fieldGroup>
    </cacheField>
    <cacheField name="Years (Order_Date)" numFmtId="0" databaseField="0">
      <fieldGroup base="10">
        <rangePr groupBy="years" startDate="2023-07-28T00:00:00" endDate="2025-07-23T00:00:00"/>
        <groupItems count="5">
          <s v="&lt;28-07-2023"/>
          <s v="2023"/>
          <s v="2024"/>
          <s v="2025"/>
          <s v="&gt;23-07-2025"/>
        </groupItems>
      </fieldGroup>
    </cacheField>
    <cacheField name="Profit Margin" numFmtId="0" formula="Profit/Revenue" databaseField="0"/>
  </cacheFields>
  <extLst>
    <ext xmlns:x14="http://schemas.microsoft.com/office/spreadsheetml/2009/9/main" uri="{725AE2AE-9491-48be-B2B4-4EB974FC3084}">
      <x14:pivotCacheDefinition pivotCacheId="1670667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2">
  <r>
    <n v="2001"/>
    <x v="0"/>
    <x v="0"/>
    <x v="0"/>
    <s v="M"/>
    <n v="3"/>
    <n v="5234.1550000000007"/>
    <n v="0"/>
    <n v="5233.1550000000007"/>
    <n v="15699.465000000002"/>
    <x v="0"/>
    <x v="0"/>
    <x v="0"/>
    <n v="-112.53"/>
    <x v="0"/>
    <x v="0"/>
    <n v="-7.1677601752671181E-3"/>
  </r>
  <r>
    <n v="2010"/>
    <x v="1"/>
    <x v="1"/>
    <x v="1"/>
    <s v="L"/>
    <n v="1"/>
    <n v="6216.29"/>
    <n v="0"/>
    <n v="6215.29"/>
    <n v="6215.29"/>
    <x v="1"/>
    <x v="1"/>
    <x v="1"/>
    <n v="1965.56"/>
    <x v="0"/>
    <x v="1"/>
    <n v="0.31624590324827961"/>
  </r>
  <r>
    <n v="2048"/>
    <x v="2"/>
    <x v="1"/>
    <x v="1"/>
    <s v="M"/>
    <n v="3"/>
    <n v="6216.29"/>
    <n v="0.94"/>
    <n v="6216.23"/>
    <n v="18648.689999999999"/>
    <x v="2"/>
    <x v="1"/>
    <x v="2"/>
    <n v="-642.02"/>
    <x v="1"/>
    <x v="0"/>
    <n v="-3.4427083081975195E-2"/>
  </r>
  <r>
    <n v="2060"/>
    <x v="2"/>
    <x v="1"/>
    <x v="1"/>
    <s v="L"/>
    <n v="2"/>
    <n v="6216.29"/>
    <n v="0"/>
    <n v="6215.29"/>
    <n v="12430.58"/>
    <x v="3"/>
    <x v="1"/>
    <x v="3"/>
    <n v="2821.59"/>
    <x v="0"/>
    <x v="0"/>
    <n v="0.22698779944298658"/>
  </r>
  <r>
    <n v="2017"/>
    <x v="0"/>
    <x v="2"/>
    <x v="2"/>
    <s v="9"/>
    <n v="4"/>
    <n v="5981.92"/>
    <n v="0"/>
    <n v="5980.92"/>
    <n v="23923.68"/>
    <x v="4"/>
    <x v="0"/>
    <x v="4"/>
    <n v="1946.24"/>
    <x v="0"/>
    <x v="1"/>
    <n v="8.13520327976298E-2"/>
  </r>
  <r>
    <n v="2063"/>
    <x v="0"/>
    <x v="2"/>
    <x v="2"/>
    <s v="M"/>
    <n v="1"/>
    <n v="5981.92"/>
    <n v="0.16"/>
    <n v="5981.08"/>
    <n v="5981.08"/>
    <x v="5"/>
    <x v="0"/>
    <x v="1"/>
    <n v="1130.31"/>
    <x v="2"/>
    <x v="0"/>
    <n v="0.18898091983387616"/>
  </r>
  <r>
    <n v="2075"/>
    <x v="1"/>
    <x v="2"/>
    <x v="2"/>
    <s v="L"/>
    <n v="4"/>
    <n v="5981.92"/>
    <n v="0"/>
    <n v="5980.92"/>
    <n v="23923.68"/>
    <x v="6"/>
    <x v="1"/>
    <x v="1"/>
    <n v="2345.35"/>
    <x v="0"/>
    <x v="1"/>
    <n v="9.8034666907432302E-2"/>
  </r>
  <r>
    <n v="2026"/>
    <x v="1"/>
    <x v="1"/>
    <x v="3"/>
    <s v="XL"/>
    <n v="1"/>
    <n v="4904.79"/>
    <n v="0.16"/>
    <n v="4903.95"/>
    <n v="4903.95"/>
    <x v="7"/>
    <x v="0"/>
    <x v="5"/>
    <n v="2301.64"/>
    <x v="2"/>
    <x v="0"/>
    <n v="0.4693441001641534"/>
  </r>
  <r>
    <n v="2071"/>
    <x v="1"/>
    <x v="1"/>
    <x v="3"/>
    <s v="M"/>
    <n v="3"/>
    <n v="4904.79"/>
    <n v="0.49"/>
    <n v="4904.28"/>
    <n v="14712.84"/>
    <x v="8"/>
    <x v="0"/>
    <x v="1"/>
    <n v="-882.96"/>
    <x v="3"/>
    <x v="1"/>
    <n v="-6.0012886703043056E-2"/>
  </r>
  <r>
    <n v="2073"/>
    <x v="0"/>
    <x v="1"/>
    <x v="3"/>
    <s v="12"/>
    <n v="4"/>
    <n v="4904.79"/>
    <n v="0.85"/>
    <n v="4904.6400000000003"/>
    <n v="19618.560000000001"/>
    <x v="9"/>
    <x v="1"/>
    <x v="0"/>
    <n v="443.86"/>
    <x v="1"/>
    <x v="0"/>
    <n v="2.2624494356364586E-2"/>
  </r>
  <r>
    <n v="2002"/>
    <x v="0"/>
    <x v="2"/>
    <x v="4"/>
    <s v="XL"/>
    <n v="3"/>
    <n v="7845.46"/>
    <n v="0"/>
    <n v="7844.46"/>
    <n v="23533.38"/>
    <x v="10"/>
    <x v="0"/>
    <x v="4"/>
    <n v="145.08000000000001"/>
    <x v="0"/>
    <x v="1"/>
    <n v="6.1648602963110272E-3"/>
  </r>
  <r>
    <n v="2047"/>
    <x v="0"/>
    <x v="3"/>
    <x v="5"/>
    <s v="10"/>
    <n v="1"/>
    <n v="5873.83"/>
    <n v="0"/>
    <n v="5872.83"/>
    <n v="5872.83"/>
    <x v="11"/>
    <x v="0"/>
    <x v="3"/>
    <n v="2888.68"/>
    <x v="0"/>
    <x v="0"/>
    <n v="0.49187189140499554"/>
  </r>
  <r>
    <n v="2045"/>
    <x v="1"/>
    <x v="1"/>
    <x v="6"/>
    <s v="XL"/>
    <n v="4"/>
    <n v="6202.99"/>
    <n v="0"/>
    <n v="6201.99"/>
    <n v="24807.96"/>
    <x v="12"/>
    <x v="0"/>
    <x v="4"/>
    <n v="1833.94"/>
    <x v="0"/>
    <x v="1"/>
    <n v="7.3925465858538958E-2"/>
  </r>
  <r>
    <n v="2052"/>
    <x v="2"/>
    <x v="3"/>
    <x v="7"/>
    <s v="10"/>
    <n v="3"/>
    <n v="5649.73"/>
    <n v="0"/>
    <n v="5648.73"/>
    <n v="16946.189999999999"/>
    <x v="13"/>
    <x v="0"/>
    <x v="1"/>
    <n v="2184.8000000000002"/>
    <x v="0"/>
    <x v="0"/>
    <n v="0.12892573492920831"/>
  </r>
  <r>
    <n v="2089"/>
    <x v="0"/>
    <x v="3"/>
    <x v="7"/>
    <s v="L"/>
    <n v="2"/>
    <n v="5649.73"/>
    <n v="0.6"/>
    <n v="5649.33"/>
    <n v="11298.66"/>
    <x v="14"/>
    <x v="1"/>
    <x v="2"/>
    <n v="-1076.6600000000001"/>
    <x v="1"/>
    <x v="0"/>
    <n v="-9.529094600598656E-2"/>
  </r>
  <r>
    <n v="2053"/>
    <x v="2"/>
    <x v="1"/>
    <x v="8"/>
    <s v="XL"/>
    <n v="3"/>
    <n v="6010.71"/>
    <n v="0"/>
    <n v="6009.71"/>
    <n v="18029.13"/>
    <x v="15"/>
    <x v="1"/>
    <x v="4"/>
    <n v="3384.92"/>
    <x v="0"/>
    <x v="0"/>
    <n v="0.18774727344026029"/>
  </r>
  <r>
    <n v="2056"/>
    <x v="2"/>
    <x v="4"/>
    <x v="9"/>
    <s v="L"/>
    <n v="3"/>
    <n v="7557.71"/>
    <n v="0"/>
    <n v="7556.71"/>
    <n v="22670.13"/>
    <x v="16"/>
    <x v="0"/>
    <x v="3"/>
    <n v="-244.44"/>
    <x v="0"/>
    <x v="0"/>
    <n v="-1.0782470149046344E-2"/>
  </r>
  <r>
    <n v="2064"/>
    <x v="1"/>
    <x v="4"/>
    <x v="9"/>
    <s v="L"/>
    <n v="2"/>
    <n v="7557.71"/>
    <n v="0"/>
    <n v="7556.71"/>
    <n v="15113.42"/>
    <x v="17"/>
    <x v="1"/>
    <x v="3"/>
    <n v="3277.44"/>
    <x v="0"/>
    <x v="1"/>
    <n v="0.21685627740114416"/>
  </r>
  <r>
    <n v="2067"/>
    <x v="1"/>
    <x v="2"/>
    <x v="10"/>
    <s v="L"/>
    <n v="4"/>
    <n v="5355.64"/>
    <n v="0"/>
    <n v="5354.64"/>
    <n v="21418.560000000001"/>
    <x v="18"/>
    <x v="1"/>
    <x v="5"/>
    <n v="161.5"/>
    <x v="0"/>
    <x v="1"/>
    <n v="7.5401894431745171E-3"/>
  </r>
  <r>
    <n v="2084"/>
    <x v="2"/>
    <x v="3"/>
    <x v="11"/>
    <s v="M"/>
    <n v="2"/>
    <n v="6186.9950000000008"/>
    <n v="0"/>
    <n v="6185.9950000000008"/>
    <n v="12371.990000000002"/>
    <x v="19"/>
    <x v="1"/>
    <x v="2"/>
    <n v="408.39"/>
    <x v="0"/>
    <x v="2"/>
    <n v="3.3009241035597339E-2"/>
  </r>
  <r>
    <n v="2088"/>
    <x v="0"/>
    <x v="4"/>
    <x v="12"/>
    <s v="XL"/>
    <n v="4"/>
    <n v="5620.64"/>
    <n v="0"/>
    <n v="5619.64"/>
    <n v="22478.560000000001"/>
    <x v="20"/>
    <x v="1"/>
    <x v="3"/>
    <n v="2702.93"/>
    <x v="0"/>
    <x v="1"/>
    <n v="0.12024480215814534"/>
  </r>
  <r>
    <n v="2094"/>
    <x v="1"/>
    <x v="3"/>
    <x v="7"/>
    <s v="10"/>
    <n v="1"/>
    <n v="5649.73"/>
    <n v="0"/>
    <n v="5648.73"/>
    <n v="5648.73"/>
    <x v="21"/>
    <x v="0"/>
    <x v="4"/>
    <n v="2974.58"/>
    <x v="0"/>
    <x v="0"/>
    <n v="0.52659270313858164"/>
  </r>
  <r>
    <n v="2096"/>
    <x v="2"/>
    <x v="4"/>
    <x v="13"/>
    <s v="XL"/>
    <n v="2"/>
    <n v="6577.39"/>
    <n v="0"/>
    <n v="6576.39"/>
    <n v="13152.78"/>
    <x v="22"/>
    <x v="1"/>
    <x v="5"/>
    <n v="288.66000000000003"/>
    <x v="0"/>
    <x v="0"/>
    <n v="2.19466911177713E-2"/>
  </r>
  <r>
    <n v="2099"/>
    <x v="1"/>
    <x v="0"/>
    <x v="14"/>
    <s v="M"/>
    <n v="2"/>
    <n v="6880.21"/>
    <n v="0.32"/>
    <n v="6879.53"/>
    <n v="13759.06"/>
    <x v="23"/>
    <x v="0"/>
    <x v="2"/>
    <n v="360.97"/>
    <x v="3"/>
    <x v="1"/>
    <n v="2.6235077105558086E-2"/>
  </r>
  <r>
    <n v="2100"/>
    <x v="1"/>
    <x v="0"/>
    <x v="15"/>
    <s v="8"/>
    <n v="1"/>
    <n v="5940.3850000000002"/>
    <n v="0"/>
    <n v="5939.3850000000002"/>
    <n v="5939.3850000000002"/>
    <x v="24"/>
    <x v="0"/>
    <x v="2"/>
    <n v="2287.5700000000002"/>
    <x v="0"/>
    <x v="1"/>
    <n v="0.38515267153080668"/>
  </r>
  <r>
    <n v="2107"/>
    <x v="0"/>
    <x v="4"/>
    <x v="9"/>
    <s v="M"/>
    <n v="4"/>
    <n v="7557.71"/>
    <n v="0"/>
    <n v="7556.71"/>
    <n v="30226.84"/>
    <x v="25"/>
    <x v="1"/>
    <x v="0"/>
    <n v="-184.69"/>
    <x v="0"/>
    <x v="0"/>
    <n v="-6.1101325841536862E-3"/>
  </r>
  <r>
    <n v="2110"/>
    <x v="1"/>
    <x v="4"/>
    <x v="16"/>
    <s v="12"/>
    <n v="1"/>
    <n v="5282.31"/>
    <n v="0.42"/>
    <n v="5281.7300000000005"/>
    <n v="5281.7300000000005"/>
    <x v="26"/>
    <x v="0"/>
    <x v="1"/>
    <n v="-259.29000000000002"/>
    <x v="3"/>
    <x v="0"/>
    <n v="-4.9091869520024686E-2"/>
  </r>
  <r>
    <n v="2118"/>
    <x v="1"/>
    <x v="2"/>
    <x v="4"/>
    <s v="XL"/>
    <n v="2"/>
    <n v="7845.46"/>
    <n v="0"/>
    <n v="7844.46"/>
    <n v="15688.92"/>
    <x v="27"/>
    <x v="1"/>
    <x v="0"/>
    <n v="2696.85"/>
    <x v="0"/>
    <x v="2"/>
    <n v="0.1718951973749627"/>
  </r>
  <r>
    <n v="2130"/>
    <x v="2"/>
    <x v="0"/>
    <x v="17"/>
    <s v="10"/>
    <n v="3"/>
    <n v="5178.83"/>
    <n v="0.24"/>
    <n v="5178.07"/>
    <n v="15534.21"/>
    <x v="2"/>
    <x v="1"/>
    <x v="3"/>
    <n v="2962.75"/>
    <x v="4"/>
    <x v="0"/>
    <n v="0.19072421449175725"/>
  </r>
  <r>
    <n v="2135"/>
    <x v="2"/>
    <x v="2"/>
    <x v="4"/>
    <s v="L"/>
    <n v="2"/>
    <n v="7845.46"/>
    <n v="0.74"/>
    <n v="7845.2"/>
    <n v="15690.4"/>
    <x v="9"/>
    <x v="0"/>
    <x v="0"/>
    <n v="2422.38"/>
    <x v="1"/>
    <x v="0"/>
    <n v="0.15438612145005864"/>
  </r>
  <r>
    <n v="2136"/>
    <x v="1"/>
    <x v="3"/>
    <x v="18"/>
    <s v="L"/>
    <n v="1"/>
    <n v="7594.7199999999993"/>
    <n v="0"/>
    <n v="7593.7199999999993"/>
    <n v="7593.7199999999993"/>
    <x v="28"/>
    <x v="1"/>
    <x v="1"/>
    <n v="3672.24"/>
    <x v="0"/>
    <x v="0"/>
    <n v="0.48358907096916925"/>
  </r>
  <r>
    <n v="2138"/>
    <x v="2"/>
    <x v="4"/>
    <x v="13"/>
    <s v="11"/>
    <n v="2"/>
    <n v="6577.39"/>
    <n v="0"/>
    <n v="6576.39"/>
    <n v="13152.78"/>
    <x v="29"/>
    <x v="1"/>
    <x v="2"/>
    <n v="1840.09"/>
    <x v="0"/>
    <x v="1"/>
    <n v="0.13990122240317254"/>
  </r>
  <r>
    <n v="2150"/>
    <x v="0"/>
    <x v="2"/>
    <x v="10"/>
    <s v="M"/>
    <n v="2"/>
    <n v="5355.64"/>
    <n v="0.48"/>
    <n v="5355.12"/>
    <n v="10710.24"/>
    <x v="30"/>
    <x v="1"/>
    <x v="3"/>
    <n v="3221.62"/>
    <x v="3"/>
    <x v="1"/>
    <n v="0.30079811470144457"/>
  </r>
  <r>
    <n v="2151"/>
    <x v="1"/>
    <x v="0"/>
    <x v="0"/>
    <s v="L"/>
    <n v="4"/>
    <n v="5234.1550000000007"/>
    <n v="0"/>
    <n v="5233.1550000000007"/>
    <n v="20932.620000000003"/>
    <x v="31"/>
    <x v="1"/>
    <x v="3"/>
    <n v="2000.85"/>
    <x v="0"/>
    <x v="1"/>
    <n v="9.5585263574268275E-2"/>
  </r>
  <r>
    <n v="2165"/>
    <x v="1"/>
    <x v="3"/>
    <x v="5"/>
    <s v="L"/>
    <n v="4"/>
    <n v="5873.83"/>
    <n v="0"/>
    <n v="5872.83"/>
    <n v="23491.32"/>
    <x v="32"/>
    <x v="0"/>
    <x v="5"/>
    <n v="2460.19"/>
    <x v="0"/>
    <x v="0"/>
    <n v="0.10472761854165709"/>
  </r>
  <r>
    <n v="2179"/>
    <x v="0"/>
    <x v="3"/>
    <x v="18"/>
    <s v="M"/>
    <n v="3"/>
    <n v="7594.7199999999993"/>
    <n v="0"/>
    <n v="7593.7199999999993"/>
    <n v="22781.159999999996"/>
    <x v="33"/>
    <x v="0"/>
    <x v="1"/>
    <n v="3135.92"/>
    <x v="0"/>
    <x v="0"/>
    <n v="0.13765409663072473"/>
  </r>
  <r>
    <n v="2181"/>
    <x v="0"/>
    <x v="1"/>
    <x v="8"/>
    <s v="XL"/>
    <n v="2"/>
    <n v="6010.71"/>
    <n v="0"/>
    <n v="6009.71"/>
    <n v="12019.42"/>
    <x v="34"/>
    <x v="0"/>
    <x v="4"/>
    <n v="419.58"/>
    <x v="0"/>
    <x v="1"/>
    <n v="3.4908506400475228E-2"/>
  </r>
  <r>
    <n v="2185"/>
    <x v="0"/>
    <x v="3"/>
    <x v="18"/>
    <s v="XL"/>
    <n v="4"/>
    <n v="7594.7199999999993"/>
    <n v="0.59"/>
    <n v="7594.3099999999995"/>
    <n v="30377.239999999998"/>
    <x v="35"/>
    <x v="1"/>
    <x v="5"/>
    <n v="-615.48"/>
    <x v="1"/>
    <x v="1"/>
    <n v="-2.0261221888492834E-2"/>
  </r>
  <r>
    <n v="2189"/>
    <x v="2"/>
    <x v="3"/>
    <x v="5"/>
    <s v="L"/>
    <n v="3"/>
    <n v="5873.83"/>
    <n v="0.9"/>
    <n v="5873.73"/>
    <n v="17621.189999999999"/>
    <x v="15"/>
    <x v="1"/>
    <x v="0"/>
    <n v="3628.46"/>
    <x v="1"/>
    <x v="0"/>
    <n v="0.20591458352131725"/>
  </r>
  <r>
    <n v="2191"/>
    <x v="2"/>
    <x v="1"/>
    <x v="8"/>
    <s v="8"/>
    <n v="3"/>
    <n v="6010.71"/>
    <n v="0"/>
    <n v="6009.71"/>
    <n v="18029.13"/>
    <x v="36"/>
    <x v="0"/>
    <x v="1"/>
    <n v="-1032.8800000000001"/>
    <x v="0"/>
    <x v="0"/>
    <n v="-5.7289508700641686E-2"/>
  </r>
  <r>
    <n v="2196"/>
    <x v="1"/>
    <x v="0"/>
    <x v="17"/>
    <s v="L"/>
    <n v="2"/>
    <n v="5178.83"/>
    <n v="0"/>
    <n v="5177.83"/>
    <n v="10355.66"/>
    <x v="37"/>
    <x v="1"/>
    <x v="4"/>
    <n v="925.63"/>
    <x v="0"/>
    <x v="1"/>
    <n v="8.9383969732494115E-2"/>
  </r>
  <r>
    <n v="2197"/>
    <x v="1"/>
    <x v="3"/>
    <x v="18"/>
    <s v="L"/>
    <n v="3"/>
    <n v="7594.7199999999993"/>
    <n v="0"/>
    <n v="7593.7199999999993"/>
    <n v="22781.159999999996"/>
    <x v="38"/>
    <x v="1"/>
    <x v="3"/>
    <n v="-418.5"/>
    <x v="0"/>
    <x v="0"/>
    <n v="-1.8370442944959785E-2"/>
  </r>
  <r>
    <n v="2198"/>
    <x v="2"/>
    <x v="3"/>
    <x v="5"/>
    <s v="7"/>
    <n v="4"/>
    <n v="5873.83"/>
    <n v="0.65"/>
    <n v="5873.48"/>
    <n v="23493.919999999998"/>
    <x v="39"/>
    <x v="1"/>
    <x v="1"/>
    <n v="-169.33"/>
    <x v="1"/>
    <x v="1"/>
    <n v="-7.2073966370873833E-3"/>
  </r>
  <r>
    <n v="2215"/>
    <x v="2"/>
    <x v="2"/>
    <x v="4"/>
    <s v="XL"/>
    <n v="3"/>
    <n v="7845.46"/>
    <n v="0.36"/>
    <n v="7844.82"/>
    <n v="23534.46"/>
    <x v="40"/>
    <x v="1"/>
    <x v="5"/>
    <n v="3254.06"/>
    <x v="3"/>
    <x v="0"/>
    <n v="0.13826788462535364"/>
  </r>
  <r>
    <n v="2221"/>
    <x v="1"/>
    <x v="1"/>
    <x v="1"/>
    <s v="L"/>
    <n v="2"/>
    <n v="6216.29"/>
    <n v="0"/>
    <n v="6215.29"/>
    <n v="12430.58"/>
    <x v="41"/>
    <x v="0"/>
    <x v="2"/>
    <n v="-297.05"/>
    <x v="0"/>
    <x v="0"/>
    <n v="-2.3896712784117879E-2"/>
  </r>
  <r>
    <n v="2222"/>
    <x v="2"/>
    <x v="3"/>
    <x v="18"/>
    <s v="XL"/>
    <n v="2"/>
    <n v="7594.7199999999993"/>
    <n v="0.11"/>
    <n v="7593.829999999999"/>
    <n v="15187.659999999998"/>
    <x v="42"/>
    <x v="0"/>
    <x v="2"/>
    <n v="2821.69"/>
    <x v="2"/>
    <x v="0"/>
    <n v="0.18578833078960158"/>
  </r>
  <r>
    <n v="2042"/>
    <x v="2"/>
    <x v="2"/>
    <x v="19"/>
    <s v="10"/>
    <n v="1"/>
    <n v="5117.8649999999998"/>
    <n v="0"/>
    <n v="5116.8649999999998"/>
    <n v="5116.8649999999998"/>
    <x v="43"/>
    <x v="0"/>
    <x v="3"/>
    <n v="2459.63"/>
    <x v="0"/>
    <x v="1"/>
    <n v="0.4806908136134137"/>
  </r>
  <r>
    <n v="2248"/>
    <x v="2"/>
    <x v="3"/>
    <x v="11"/>
    <s v="M"/>
    <n v="4"/>
    <n v="6186.9950000000008"/>
    <n v="0.24"/>
    <n v="6186.2350000000006"/>
    <n v="24744.940000000002"/>
    <x v="44"/>
    <x v="1"/>
    <x v="3"/>
    <n v="1625.14"/>
    <x v="4"/>
    <x v="0"/>
    <n v="6.5675649243845405E-2"/>
  </r>
  <r>
    <n v="2257"/>
    <x v="2"/>
    <x v="2"/>
    <x v="19"/>
    <s v="XL"/>
    <n v="1"/>
    <n v="5117.8649999999998"/>
    <n v="0"/>
    <n v="5116.8649999999998"/>
    <n v="5116.8649999999998"/>
    <x v="45"/>
    <x v="1"/>
    <x v="2"/>
    <n v="-365.42"/>
    <x v="0"/>
    <x v="1"/>
    <n v="-7.1414821379887888E-2"/>
  </r>
  <r>
    <n v="2260"/>
    <x v="0"/>
    <x v="1"/>
    <x v="6"/>
    <s v="M"/>
    <n v="2"/>
    <n v="6202.99"/>
    <n v="0"/>
    <n v="6201.99"/>
    <n v="12403.98"/>
    <x v="46"/>
    <x v="0"/>
    <x v="1"/>
    <n v="-352.18"/>
    <x v="0"/>
    <x v="0"/>
    <n v="-2.8392499826668537E-2"/>
  </r>
  <r>
    <n v="2268"/>
    <x v="2"/>
    <x v="0"/>
    <x v="14"/>
    <s v="M"/>
    <n v="3"/>
    <n v="6880.21"/>
    <n v="0"/>
    <n v="6879.21"/>
    <n v="20637.63"/>
    <x v="47"/>
    <x v="1"/>
    <x v="5"/>
    <n v="518.71"/>
    <x v="0"/>
    <x v="2"/>
    <n v="2.5134184496960164E-2"/>
  </r>
  <r>
    <n v="2269"/>
    <x v="0"/>
    <x v="3"/>
    <x v="18"/>
    <s v="11"/>
    <n v="4"/>
    <n v="7594.7199999999993"/>
    <n v="0"/>
    <n v="7593.7199999999993"/>
    <n v="30374.879999999997"/>
    <x v="48"/>
    <x v="0"/>
    <x v="2"/>
    <n v="-405.26"/>
    <x v="0"/>
    <x v="0"/>
    <n v="-1.3341945713036563E-2"/>
  </r>
  <r>
    <n v="2038"/>
    <x v="0"/>
    <x v="3"/>
    <x v="18"/>
    <s v="XL"/>
    <n v="1"/>
    <n v="7594.7199999999993"/>
    <n v="0"/>
    <n v="7593.7199999999993"/>
    <n v="7593.7199999999993"/>
    <x v="49"/>
    <x v="0"/>
    <x v="4"/>
    <n v="3680.24"/>
    <x v="0"/>
    <x v="0"/>
    <n v="0.48464257307353975"/>
  </r>
  <r>
    <n v="2274"/>
    <x v="0"/>
    <x v="3"/>
    <x v="11"/>
    <s v="6"/>
    <n v="4"/>
    <n v="6186.9950000000008"/>
    <n v="0.45"/>
    <n v="6186.4450000000006"/>
    <n v="24745.780000000002"/>
    <x v="50"/>
    <x v="1"/>
    <x v="3"/>
    <n v="2561.89"/>
    <x v="3"/>
    <x v="1"/>
    <n v="0.10352835917881754"/>
  </r>
  <r>
    <n v="2281"/>
    <x v="1"/>
    <x v="1"/>
    <x v="1"/>
    <s v="M"/>
    <n v="2"/>
    <n v="6216.29"/>
    <n v="0"/>
    <n v="6215.29"/>
    <n v="12430.58"/>
    <x v="51"/>
    <x v="0"/>
    <x v="5"/>
    <n v="1753.48"/>
    <x v="0"/>
    <x v="1"/>
    <n v="0.14106180081701739"/>
  </r>
  <r>
    <n v="2283"/>
    <x v="2"/>
    <x v="0"/>
    <x v="14"/>
    <s v="10"/>
    <n v="1"/>
    <n v="6880.21"/>
    <n v="0"/>
    <n v="6879.21"/>
    <n v="6879.21"/>
    <x v="52"/>
    <x v="0"/>
    <x v="4"/>
    <n v="468.59"/>
    <x v="0"/>
    <x v="0"/>
    <n v="6.8116833182880004E-2"/>
  </r>
  <r>
    <n v="2293"/>
    <x v="0"/>
    <x v="2"/>
    <x v="2"/>
    <s v="XL"/>
    <n v="3"/>
    <n v="5981.92"/>
    <n v="0"/>
    <n v="5980.92"/>
    <n v="17942.760000000002"/>
    <x v="53"/>
    <x v="0"/>
    <x v="2"/>
    <n v="2525.87"/>
    <x v="0"/>
    <x v="1"/>
    <n v="0.14077377170513342"/>
  </r>
  <r>
    <n v="2300"/>
    <x v="2"/>
    <x v="2"/>
    <x v="2"/>
    <s v="L"/>
    <n v="3"/>
    <n v="5981.92"/>
    <n v="0.78"/>
    <n v="5981.7"/>
    <n v="17945.099999999999"/>
    <x v="54"/>
    <x v="0"/>
    <x v="4"/>
    <n v="3380.28"/>
    <x v="1"/>
    <x v="0"/>
    <n v="0.18836785529197389"/>
  </r>
  <r>
    <n v="2303"/>
    <x v="1"/>
    <x v="4"/>
    <x v="12"/>
    <s v="L"/>
    <n v="2"/>
    <n v="5620.64"/>
    <n v="0"/>
    <n v="5619.64"/>
    <n v="11239.28"/>
    <x v="22"/>
    <x v="0"/>
    <x v="0"/>
    <n v="2971.55"/>
    <x v="0"/>
    <x v="0"/>
    <n v="0.26438971179648518"/>
  </r>
  <r>
    <n v="2307"/>
    <x v="0"/>
    <x v="4"/>
    <x v="12"/>
    <s v="XL"/>
    <n v="2"/>
    <n v="5620.64"/>
    <n v="0"/>
    <n v="5619.64"/>
    <n v="11239.28"/>
    <x v="55"/>
    <x v="0"/>
    <x v="5"/>
    <n v="2390.6999999999998"/>
    <x v="0"/>
    <x v="1"/>
    <n v="0.21270935504765426"/>
  </r>
  <r>
    <n v="2026"/>
    <x v="0"/>
    <x v="3"/>
    <x v="7"/>
    <s v="M"/>
    <n v="4"/>
    <n v="5649.73"/>
    <n v="0.26"/>
    <n v="5648.99"/>
    <n v="22595.96"/>
    <x v="56"/>
    <x v="1"/>
    <x v="4"/>
    <n v="495.62"/>
    <x v="4"/>
    <x v="0"/>
    <n v="2.1934009442395899E-2"/>
  </r>
  <r>
    <n v="2314"/>
    <x v="0"/>
    <x v="0"/>
    <x v="14"/>
    <s v="M"/>
    <n v="2"/>
    <n v="6880.21"/>
    <n v="0.86"/>
    <n v="6880.07"/>
    <n v="13760.14"/>
    <x v="57"/>
    <x v="0"/>
    <x v="2"/>
    <n v="1505.11"/>
    <x v="1"/>
    <x v="0"/>
    <n v="0.10938188128899851"/>
  </r>
  <r>
    <n v="2318"/>
    <x v="2"/>
    <x v="0"/>
    <x v="15"/>
    <s v="11"/>
    <n v="2"/>
    <n v="5940.3850000000002"/>
    <n v="0.25"/>
    <n v="5939.6350000000002"/>
    <n v="11879.27"/>
    <x v="58"/>
    <x v="0"/>
    <x v="4"/>
    <n v="1894.17"/>
    <x v="4"/>
    <x v="1"/>
    <n v="0.1594517171509697"/>
  </r>
  <r>
    <n v="2326"/>
    <x v="0"/>
    <x v="1"/>
    <x v="6"/>
    <s v="XL"/>
    <n v="4"/>
    <n v="6202.99"/>
    <n v="0"/>
    <n v="6201.99"/>
    <n v="24807.96"/>
    <x v="59"/>
    <x v="0"/>
    <x v="5"/>
    <n v="2047.65"/>
    <x v="0"/>
    <x v="0"/>
    <n v="8.2540039567945131E-2"/>
  </r>
  <r>
    <n v="2327"/>
    <x v="2"/>
    <x v="3"/>
    <x v="7"/>
    <s v="XL"/>
    <n v="4"/>
    <n v="5649.73"/>
    <n v="0"/>
    <n v="5648.73"/>
    <n v="22594.92"/>
    <x v="60"/>
    <x v="0"/>
    <x v="4"/>
    <n v="3402.41"/>
    <x v="0"/>
    <x v="1"/>
    <n v="0.15058296289608461"/>
  </r>
  <r>
    <n v="2328"/>
    <x v="2"/>
    <x v="1"/>
    <x v="1"/>
    <s v="6"/>
    <n v="2"/>
    <n v="6216.29"/>
    <n v="0.28999999999999998"/>
    <n v="6215.58"/>
    <n v="12431.16"/>
    <x v="61"/>
    <x v="1"/>
    <x v="2"/>
    <n v="39.69"/>
    <x v="4"/>
    <x v="0"/>
    <n v="3.1927832961686597E-3"/>
  </r>
  <r>
    <n v="2329"/>
    <x v="2"/>
    <x v="2"/>
    <x v="19"/>
    <s v="L"/>
    <n v="4"/>
    <n v="5117.8649999999998"/>
    <n v="0"/>
    <n v="5116.8649999999998"/>
    <n v="20467.46"/>
    <x v="62"/>
    <x v="1"/>
    <x v="2"/>
    <n v="1833.07"/>
    <x v="0"/>
    <x v="1"/>
    <n v="8.9560209229674809E-2"/>
  </r>
  <r>
    <n v="2334"/>
    <x v="0"/>
    <x v="3"/>
    <x v="5"/>
    <s v="L"/>
    <n v="4"/>
    <n v="5873.83"/>
    <n v="0.82"/>
    <n v="5873.65"/>
    <n v="23494.6"/>
    <x v="63"/>
    <x v="0"/>
    <x v="2"/>
    <n v="-80.25"/>
    <x v="1"/>
    <x v="0"/>
    <n v="-3.4156784963353284E-3"/>
  </r>
  <r>
    <n v="2336"/>
    <x v="1"/>
    <x v="0"/>
    <x v="14"/>
    <s v="8"/>
    <n v="4"/>
    <n v="6880.21"/>
    <n v="0"/>
    <n v="6879.21"/>
    <n v="27516.84"/>
    <x v="64"/>
    <x v="1"/>
    <x v="1"/>
    <n v="3854.71"/>
    <x v="0"/>
    <x v="2"/>
    <n v="0.1400854894675406"/>
  </r>
  <r>
    <n v="2340"/>
    <x v="0"/>
    <x v="4"/>
    <x v="12"/>
    <s v="7"/>
    <n v="3"/>
    <n v="5620.64"/>
    <n v="0.91"/>
    <n v="5620.55"/>
    <n v="16861.650000000001"/>
    <x v="65"/>
    <x v="1"/>
    <x v="2"/>
    <n v="-425.99"/>
    <x v="1"/>
    <x v="0"/>
    <n v="-2.5263838355083872E-2"/>
  </r>
  <r>
    <n v="2349"/>
    <x v="1"/>
    <x v="0"/>
    <x v="0"/>
    <s v="10"/>
    <n v="3"/>
    <n v="5234.1550000000007"/>
    <n v="0"/>
    <n v="5233.1550000000007"/>
    <n v="15699.465000000002"/>
    <x v="66"/>
    <x v="1"/>
    <x v="4"/>
    <n v="-902.62"/>
    <x v="0"/>
    <x v="2"/>
    <n v="-5.7493678924727683E-2"/>
  </r>
  <r>
    <n v="2351"/>
    <x v="2"/>
    <x v="2"/>
    <x v="10"/>
    <s v="11"/>
    <n v="3"/>
    <n v="5355.64"/>
    <n v="0"/>
    <n v="5354.64"/>
    <n v="16063.920000000002"/>
    <x v="67"/>
    <x v="0"/>
    <x v="1"/>
    <n v="2363.69"/>
    <x v="0"/>
    <x v="0"/>
    <n v="0.14714278955572488"/>
  </r>
  <r>
    <n v="2355"/>
    <x v="0"/>
    <x v="1"/>
    <x v="1"/>
    <s v="L"/>
    <n v="1"/>
    <n v="6216.29"/>
    <n v="0"/>
    <n v="6215.29"/>
    <n v="6215.29"/>
    <x v="68"/>
    <x v="0"/>
    <x v="3"/>
    <n v="-887.83"/>
    <x v="0"/>
    <x v="0"/>
    <n v="-0.14284611015736998"/>
  </r>
  <r>
    <n v="2358"/>
    <x v="2"/>
    <x v="2"/>
    <x v="10"/>
    <s v="M"/>
    <n v="4"/>
    <n v="5355.64"/>
    <n v="0"/>
    <n v="5354.64"/>
    <n v="21418.560000000001"/>
    <x v="69"/>
    <x v="1"/>
    <x v="1"/>
    <n v="1819.6"/>
    <x v="0"/>
    <x v="1"/>
    <n v="8.4954357342417033E-2"/>
  </r>
  <r>
    <n v="2367"/>
    <x v="1"/>
    <x v="1"/>
    <x v="6"/>
    <s v="XL"/>
    <n v="4"/>
    <n v="6202.99"/>
    <n v="0.84"/>
    <n v="6202.83"/>
    <n v="24811.32"/>
    <x v="70"/>
    <x v="1"/>
    <x v="3"/>
    <n v="-202.12"/>
    <x v="1"/>
    <x v="0"/>
    <n v="-8.1462816166169311E-3"/>
  </r>
  <r>
    <n v="2370"/>
    <x v="2"/>
    <x v="4"/>
    <x v="13"/>
    <s v="L"/>
    <n v="2"/>
    <n v="6577.39"/>
    <n v="0"/>
    <n v="6576.39"/>
    <n v="13152.78"/>
    <x v="71"/>
    <x v="1"/>
    <x v="4"/>
    <n v="867.37"/>
    <x v="0"/>
    <x v="1"/>
    <n v="6.5945754433663448E-2"/>
  </r>
  <r>
    <n v="2379"/>
    <x v="2"/>
    <x v="1"/>
    <x v="8"/>
    <s v="L"/>
    <n v="4"/>
    <n v="6010.71"/>
    <n v="0"/>
    <n v="6009.71"/>
    <n v="24038.84"/>
    <x v="72"/>
    <x v="1"/>
    <x v="2"/>
    <n v="3289.77"/>
    <x v="0"/>
    <x v="0"/>
    <n v="0.13685227739774464"/>
  </r>
  <r>
    <n v="2380"/>
    <x v="2"/>
    <x v="0"/>
    <x v="15"/>
    <s v="M"/>
    <n v="1"/>
    <n v="5940.3850000000002"/>
    <n v="0"/>
    <n v="5939.3850000000002"/>
    <n v="5939.3850000000002"/>
    <x v="57"/>
    <x v="0"/>
    <x v="4"/>
    <n v="2707.27"/>
    <x v="0"/>
    <x v="0"/>
    <n v="0.45581655339736349"/>
  </r>
  <r>
    <n v="2382"/>
    <x v="2"/>
    <x v="1"/>
    <x v="1"/>
    <s v="L"/>
    <n v="4"/>
    <n v="6216.29"/>
    <n v="0"/>
    <n v="6215.29"/>
    <n v="24861.16"/>
    <x v="73"/>
    <x v="0"/>
    <x v="2"/>
    <n v="787.42"/>
    <x v="0"/>
    <x v="0"/>
    <n v="3.1672697492795991E-2"/>
  </r>
  <r>
    <n v="2388"/>
    <x v="1"/>
    <x v="4"/>
    <x v="16"/>
    <s v="L"/>
    <n v="1"/>
    <n v="5282.31"/>
    <n v="0"/>
    <n v="5281.31"/>
    <n v="5281.31"/>
    <x v="74"/>
    <x v="0"/>
    <x v="3"/>
    <n v="2587.2600000000002"/>
    <x v="0"/>
    <x v="0"/>
    <n v="0.48988981900323975"/>
  </r>
  <r>
    <n v="2002"/>
    <x v="0"/>
    <x v="3"/>
    <x v="18"/>
    <s v="XL"/>
    <n v="4"/>
    <n v="7594.7199999999993"/>
    <n v="0"/>
    <n v="7593.7199999999993"/>
    <n v="30374.879999999997"/>
    <x v="75"/>
    <x v="0"/>
    <x v="5"/>
    <n v="3842.85"/>
    <x v="0"/>
    <x v="0"/>
    <n v="0.12651408005562492"/>
  </r>
  <r>
    <n v="2395"/>
    <x v="1"/>
    <x v="0"/>
    <x v="17"/>
    <s v="XL"/>
    <n v="1"/>
    <n v="5178.83"/>
    <n v="0"/>
    <n v="5177.83"/>
    <n v="5177.83"/>
    <x v="76"/>
    <x v="1"/>
    <x v="1"/>
    <n v="85"/>
    <x v="0"/>
    <x v="1"/>
    <n v="1.6416143442330087E-2"/>
  </r>
  <r>
    <n v="2025"/>
    <x v="1"/>
    <x v="3"/>
    <x v="18"/>
    <s v="XL"/>
    <n v="4"/>
    <n v="7594.7199999999993"/>
    <n v="0"/>
    <n v="7593.7199999999993"/>
    <n v="30374.879999999997"/>
    <x v="77"/>
    <x v="1"/>
    <x v="1"/>
    <n v="-277.41000000000003"/>
    <x v="0"/>
    <x v="0"/>
    <n v="-9.1328755866689863E-3"/>
  </r>
  <r>
    <n v="2405"/>
    <x v="2"/>
    <x v="2"/>
    <x v="19"/>
    <s v="6"/>
    <n v="1"/>
    <n v="5117.8649999999998"/>
    <n v="0"/>
    <n v="5116.8649999999998"/>
    <n v="5116.8649999999998"/>
    <x v="78"/>
    <x v="1"/>
    <x v="5"/>
    <n v="69.95"/>
    <x v="0"/>
    <x v="0"/>
    <n v="1.3670479873907168E-2"/>
  </r>
  <r>
    <n v="2406"/>
    <x v="2"/>
    <x v="3"/>
    <x v="11"/>
    <s v="L"/>
    <n v="4"/>
    <n v="6186.9950000000008"/>
    <n v="0"/>
    <n v="6185.9950000000008"/>
    <n v="24743.980000000003"/>
    <x v="79"/>
    <x v="1"/>
    <x v="2"/>
    <n v="402"/>
    <x v="0"/>
    <x v="2"/>
    <n v="1.6246375886175141E-2"/>
  </r>
  <r>
    <n v="2408"/>
    <x v="2"/>
    <x v="0"/>
    <x v="17"/>
    <s v="XL"/>
    <n v="1"/>
    <n v="5178.83"/>
    <n v="0"/>
    <n v="5177.83"/>
    <n v="5177.83"/>
    <x v="77"/>
    <x v="0"/>
    <x v="3"/>
    <n v="1731.86"/>
    <x v="0"/>
    <x v="0"/>
    <n v="0.33447602567098572"/>
  </r>
  <r>
    <n v="2415"/>
    <x v="0"/>
    <x v="4"/>
    <x v="12"/>
    <s v="8"/>
    <n v="3"/>
    <n v="5620.64"/>
    <n v="0"/>
    <n v="5619.64"/>
    <n v="16858.920000000002"/>
    <x v="80"/>
    <x v="0"/>
    <x v="3"/>
    <n v="73.75"/>
    <x v="0"/>
    <x v="0"/>
    <n v="4.3745388198057761E-3"/>
  </r>
  <r>
    <n v="2421"/>
    <x v="0"/>
    <x v="4"/>
    <x v="9"/>
    <s v="M"/>
    <n v="2"/>
    <n v="7557.71"/>
    <n v="0"/>
    <n v="7556.71"/>
    <n v="15113.42"/>
    <x v="81"/>
    <x v="0"/>
    <x v="1"/>
    <n v="3398.15"/>
    <x v="0"/>
    <x v="1"/>
    <n v="0.22484321880818506"/>
  </r>
  <r>
    <n v="2428"/>
    <x v="1"/>
    <x v="2"/>
    <x v="19"/>
    <s v="12"/>
    <n v="2"/>
    <n v="5117.8649999999998"/>
    <n v="0"/>
    <n v="5116.8649999999998"/>
    <n v="10233.73"/>
    <x v="82"/>
    <x v="0"/>
    <x v="2"/>
    <n v="427.51"/>
    <x v="0"/>
    <x v="0"/>
    <n v="4.1774602222259136E-2"/>
  </r>
  <r>
    <n v="2430"/>
    <x v="0"/>
    <x v="0"/>
    <x v="0"/>
    <s v="12"/>
    <n v="3"/>
    <n v="5234.1550000000007"/>
    <n v="0.1"/>
    <n v="5233.255000000001"/>
    <n v="15699.765000000003"/>
    <x v="83"/>
    <x v="1"/>
    <x v="1"/>
    <n v="215.3"/>
    <x v="0"/>
    <x v="1"/>
    <n v="1.3713581063156038E-2"/>
  </r>
  <r>
    <n v="2431"/>
    <x v="0"/>
    <x v="1"/>
    <x v="3"/>
    <s v="L"/>
    <n v="1"/>
    <n v="4904.79"/>
    <n v="0"/>
    <n v="4903.79"/>
    <n v="4903.79"/>
    <x v="84"/>
    <x v="1"/>
    <x v="0"/>
    <n v="1627.78"/>
    <x v="0"/>
    <x v="0"/>
    <n v="0.33194325205606273"/>
  </r>
  <r>
    <n v="2432"/>
    <x v="0"/>
    <x v="2"/>
    <x v="4"/>
    <s v="L"/>
    <n v="1"/>
    <n v="7845.46"/>
    <n v="0.86"/>
    <n v="7845.32"/>
    <n v="7845.32"/>
    <x v="85"/>
    <x v="1"/>
    <x v="2"/>
    <n v="3754.3"/>
    <x v="1"/>
    <x v="0"/>
    <n v="0.47854007229787954"/>
  </r>
  <r>
    <n v="2437"/>
    <x v="0"/>
    <x v="4"/>
    <x v="13"/>
    <s v="XL"/>
    <n v="3"/>
    <n v="6577.39"/>
    <n v="0.53"/>
    <n v="6576.92"/>
    <n v="19730.760000000002"/>
    <x v="86"/>
    <x v="0"/>
    <x v="0"/>
    <n v="-281.42"/>
    <x v="1"/>
    <x v="0"/>
    <n v="-1.4263008622070309E-2"/>
  </r>
  <r>
    <n v="2443"/>
    <x v="0"/>
    <x v="2"/>
    <x v="10"/>
    <s v="M"/>
    <n v="1"/>
    <n v="5355.64"/>
    <n v="0"/>
    <n v="5354.64"/>
    <n v="5354.64"/>
    <x v="87"/>
    <x v="0"/>
    <x v="2"/>
    <n v="2449.4299999999998"/>
    <x v="0"/>
    <x v="1"/>
    <n v="0.45744064960482866"/>
  </r>
  <r>
    <n v="2444"/>
    <x v="0"/>
    <x v="1"/>
    <x v="3"/>
    <s v="XL"/>
    <n v="3"/>
    <n v="4904.79"/>
    <n v="0"/>
    <n v="4903.79"/>
    <n v="14711.369999999999"/>
    <x v="88"/>
    <x v="0"/>
    <x v="1"/>
    <n v="1621.74"/>
    <x v="0"/>
    <x v="1"/>
    <n v="0.11023718389245869"/>
  </r>
  <r>
    <n v="2003"/>
    <x v="0"/>
    <x v="1"/>
    <x v="1"/>
    <s v="XL"/>
    <n v="2"/>
    <n v="6216.29"/>
    <n v="0.22"/>
    <n v="6215.51"/>
    <n v="12431.02"/>
    <x v="89"/>
    <x v="1"/>
    <x v="5"/>
    <n v="1764.52"/>
    <x v="4"/>
    <x v="2"/>
    <n v="0.14194490878463714"/>
  </r>
  <r>
    <n v="2460"/>
    <x v="0"/>
    <x v="2"/>
    <x v="4"/>
    <s v="XL"/>
    <n v="2"/>
    <n v="7845.46"/>
    <n v="0.35"/>
    <n v="7844.81"/>
    <n v="15689.62"/>
    <x v="90"/>
    <x v="1"/>
    <x v="5"/>
    <n v="-823.8"/>
    <x v="3"/>
    <x v="0"/>
    <n v="-5.2506051771808365E-2"/>
  </r>
  <r>
    <n v="2464"/>
    <x v="0"/>
    <x v="1"/>
    <x v="3"/>
    <s v="XL"/>
    <n v="3"/>
    <n v="4904.79"/>
    <n v="0"/>
    <n v="4903.79"/>
    <n v="14711.369999999999"/>
    <x v="91"/>
    <x v="0"/>
    <x v="0"/>
    <n v="3507.56"/>
    <x v="0"/>
    <x v="0"/>
    <n v="0.23842510928621877"/>
  </r>
  <r>
    <n v="2465"/>
    <x v="1"/>
    <x v="1"/>
    <x v="3"/>
    <s v="7"/>
    <n v="1"/>
    <n v="4904.79"/>
    <n v="0"/>
    <n v="4903.79"/>
    <n v="4903.79"/>
    <x v="92"/>
    <x v="0"/>
    <x v="1"/>
    <n v="684.07"/>
    <x v="0"/>
    <x v="1"/>
    <n v="0.13949822484241781"/>
  </r>
  <r>
    <n v="2467"/>
    <x v="1"/>
    <x v="3"/>
    <x v="5"/>
    <s v="M"/>
    <n v="1"/>
    <n v="5873.83"/>
    <n v="0"/>
    <n v="5872.83"/>
    <n v="5872.83"/>
    <x v="93"/>
    <x v="1"/>
    <x v="2"/>
    <n v="1899.54"/>
    <x v="0"/>
    <x v="2"/>
    <n v="0.32344542579982732"/>
  </r>
  <r>
    <n v="2481"/>
    <x v="0"/>
    <x v="0"/>
    <x v="17"/>
    <s v="7"/>
    <n v="1"/>
    <n v="5178.83"/>
    <n v="7.0000000000000007E-2"/>
    <n v="5177.8999999999996"/>
    <n v="5177.8999999999996"/>
    <x v="94"/>
    <x v="1"/>
    <x v="1"/>
    <n v="1755.19"/>
    <x v="0"/>
    <x v="1"/>
    <n v="0.33897719152552197"/>
  </r>
  <r>
    <n v="2487"/>
    <x v="2"/>
    <x v="4"/>
    <x v="16"/>
    <s v="L"/>
    <n v="3"/>
    <n v="5282.31"/>
    <n v="0.8"/>
    <n v="5282.1100000000006"/>
    <n v="15846.330000000002"/>
    <x v="95"/>
    <x v="1"/>
    <x v="0"/>
    <n v="2108.4"/>
    <x v="1"/>
    <x v="1"/>
    <n v="0.13305288984894292"/>
  </r>
  <r>
    <n v="2490"/>
    <x v="0"/>
    <x v="0"/>
    <x v="17"/>
    <s v="L"/>
    <n v="3"/>
    <n v="5178.83"/>
    <n v="0.75"/>
    <n v="5178.58"/>
    <n v="15535.74"/>
    <x v="96"/>
    <x v="1"/>
    <x v="0"/>
    <n v="-494.53"/>
    <x v="1"/>
    <x v="0"/>
    <n v="-3.1831763404897351E-2"/>
  </r>
  <r>
    <n v="2496"/>
    <x v="1"/>
    <x v="4"/>
    <x v="9"/>
    <s v="M"/>
    <n v="2"/>
    <n v="7557.71"/>
    <n v="0.32"/>
    <n v="7557.03"/>
    <n v="15114.06"/>
    <x v="22"/>
    <x v="0"/>
    <x v="3"/>
    <n v="3894.95"/>
    <x v="3"/>
    <x v="0"/>
    <n v="0.25770375398800849"/>
  </r>
  <r>
    <n v="2497"/>
    <x v="1"/>
    <x v="2"/>
    <x v="2"/>
    <s v="XL"/>
    <n v="1"/>
    <n v="5981.92"/>
    <n v="0"/>
    <n v="5980.92"/>
    <n v="5980.92"/>
    <x v="97"/>
    <x v="1"/>
    <x v="2"/>
    <n v="2592.98"/>
    <x v="0"/>
    <x v="2"/>
    <n v="0.4335419968834226"/>
  </r>
  <r>
    <n v="2507"/>
    <x v="2"/>
    <x v="0"/>
    <x v="15"/>
    <s v="L"/>
    <n v="2"/>
    <n v="5940.3850000000002"/>
    <n v="0"/>
    <n v="5939.3850000000002"/>
    <n v="11878.77"/>
    <x v="98"/>
    <x v="0"/>
    <x v="0"/>
    <n v="2116.5300000000002"/>
    <x v="0"/>
    <x v="0"/>
    <n v="0.17817753858354021"/>
  </r>
  <r>
    <n v="2513"/>
    <x v="0"/>
    <x v="2"/>
    <x v="4"/>
    <s v="XL"/>
    <n v="4"/>
    <n v="7845.46"/>
    <n v="0"/>
    <n v="7844.46"/>
    <n v="31377.84"/>
    <x v="99"/>
    <x v="1"/>
    <x v="1"/>
    <n v="2764.66"/>
    <x v="0"/>
    <x v="0"/>
    <n v="8.8108677971460103E-2"/>
  </r>
  <r>
    <n v="2514"/>
    <x v="1"/>
    <x v="2"/>
    <x v="2"/>
    <s v="M"/>
    <n v="1"/>
    <n v="5981.92"/>
    <n v="0"/>
    <n v="5980.92"/>
    <n v="5980.92"/>
    <x v="100"/>
    <x v="1"/>
    <x v="3"/>
    <n v="1790.41"/>
    <x v="0"/>
    <x v="1"/>
    <n v="0.29935361115012404"/>
  </r>
  <r>
    <n v="2521"/>
    <x v="1"/>
    <x v="1"/>
    <x v="3"/>
    <s v="M"/>
    <n v="4"/>
    <n v="4904.79"/>
    <n v="0"/>
    <n v="4903.79"/>
    <n v="19615.16"/>
    <x v="56"/>
    <x v="1"/>
    <x v="5"/>
    <n v="3265.83"/>
    <x v="0"/>
    <x v="0"/>
    <n v="0.1664952006509251"/>
  </r>
  <r>
    <n v="2522"/>
    <x v="2"/>
    <x v="4"/>
    <x v="13"/>
    <s v="XL"/>
    <n v="4"/>
    <n v="6577.39"/>
    <n v="0"/>
    <n v="6576.39"/>
    <n v="26305.56"/>
    <x v="101"/>
    <x v="0"/>
    <x v="5"/>
    <n v="-199.13"/>
    <x v="0"/>
    <x v="0"/>
    <n v="-7.5698825647505692E-3"/>
  </r>
  <r>
    <n v="2525"/>
    <x v="0"/>
    <x v="3"/>
    <x v="11"/>
    <s v="XL"/>
    <n v="2"/>
    <n v="6186.9950000000008"/>
    <n v="0"/>
    <n v="6185.9950000000008"/>
    <n v="12371.990000000002"/>
    <x v="102"/>
    <x v="0"/>
    <x v="5"/>
    <n v="3453.18"/>
    <x v="0"/>
    <x v="1"/>
    <n v="0.27911273772448891"/>
  </r>
  <r>
    <n v="2526"/>
    <x v="1"/>
    <x v="1"/>
    <x v="1"/>
    <s v="10"/>
    <n v="1"/>
    <n v="6216.29"/>
    <n v="0"/>
    <n v="6215.29"/>
    <n v="6215.29"/>
    <x v="103"/>
    <x v="0"/>
    <x v="0"/>
    <n v="3188.07"/>
    <x v="0"/>
    <x v="0"/>
    <n v="0.51293986282216919"/>
  </r>
  <r>
    <n v="2528"/>
    <x v="0"/>
    <x v="3"/>
    <x v="18"/>
    <s v="11"/>
    <n v="2"/>
    <n v="7594.7199999999993"/>
    <n v="0"/>
    <n v="7593.7199999999993"/>
    <n v="15187.439999999999"/>
    <x v="104"/>
    <x v="1"/>
    <x v="4"/>
    <n v="134.1"/>
    <x v="0"/>
    <x v="1"/>
    <n v="8.8296645122548645E-3"/>
  </r>
  <r>
    <n v="2530"/>
    <x v="0"/>
    <x v="1"/>
    <x v="6"/>
    <s v="M"/>
    <n v="2"/>
    <n v="6202.99"/>
    <n v="0"/>
    <n v="6201.99"/>
    <n v="12403.98"/>
    <x v="105"/>
    <x v="0"/>
    <x v="2"/>
    <n v="3936.13"/>
    <x v="0"/>
    <x v="1"/>
    <n v="0.31732798666234552"/>
  </r>
  <r>
    <n v="2535"/>
    <x v="2"/>
    <x v="0"/>
    <x v="0"/>
    <s v="XL"/>
    <n v="2"/>
    <n v="5234.1550000000007"/>
    <n v="0.21"/>
    <n v="5233.3650000000007"/>
    <n v="10466.730000000001"/>
    <x v="106"/>
    <x v="1"/>
    <x v="2"/>
    <n v="3345.36"/>
    <x v="4"/>
    <x v="1"/>
    <n v="0.31961844816862572"/>
  </r>
  <r>
    <n v="2547"/>
    <x v="0"/>
    <x v="0"/>
    <x v="14"/>
    <s v="M"/>
    <n v="1"/>
    <n v="6880.21"/>
    <n v="0"/>
    <n v="6879.21"/>
    <n v="6879.21"/>
    <x v="76"/>
    <x v="0"/>
    <x v="5"/>
    <n v="-586.29"/>
    <x v="0"/>
    <x v="1"/>
    <n v="-8.5226355933312098E-2"/>
  </r>
  <r>
    <n v="2550"/>
    <x v="2"/>
    <x v="0"/>
    <x v="17"/>
    <s v="XL"/>
    <n v="1"/>
    <n v="5178.83"/>
    <n v="0.05"/>
    <n v="5177.88"/>
    <n v="5177.88"/>
    <x v="107"/>
    <x v="1"/>
    <x v="5"/>
    <n v="2470.08"/>
    <x v="0"/>
    <x v="2"/>
    <n v="0.47704465920415301"/>
  </r>
  <r>
    <n v="2552"/>
    <x v="0"/>
    <x v="0"/>
    <x v="17"/>
    <s v="10"/>
    <n v="1"/>
    <n v="5178.83"/>
    <n v="0.41"/>
    <n v="5178.24"/>
    <n v="5178.24"/>
    <x v="108"/>
    <x v="0"/>
    <x v="0"/>
    <n v="3389.34"/>
    <x v="3"/>
    <x v="1"/>
    <n v="0.65453513162773458"/>
  </r>
  <r>
    <n v="2554"/>
    <x v="0"/>
    <x v="3"/>
    <x v="7"/>
    <s v="M"/>
    <n v="1"/>
    <n v="5649.73"/>
    <n v="0"/>
    <n v="5648.73"/>
    <n v="5648.73"/>
    <x v="109"/>
    <x v="0"/>
    <x v="3"/>
    <n v="1002.19"/>
    <x v="0"/>
    <x v="1"/>
    <n v="0.17741864100426116"/>
  </r>
  <r>
    <n v="2557"/>
    <x v="2"/>
    <x v="2"/>
    <x v="10"/>
    <s v="M"/>
    <n v="3"/>
    <n v="5355.64"/>
    <n v="0"/>
    <n v="5354.64"/>
    <n v="16063.920000000002"/>
    <x v="61"/>
    <x v="0"/>
    <x v="5"/>
    <n v="1115.74"/>
    <x v="0"/>
    <x v="0"/>
    <n v="6.9456272192590596E-2"/>
  </r>
  <r>
    <n v="2559"/>
    <x v="2"/>
    <x v="1"/>
    <x v="8"/>
    <s v="7"/>
    <n v="3"/>
    <n v="6010.71"/>
    <n v="0"/>
    <n v="6009.71"/>
    <n v="18029.13"/>
    <x v="110"/>
    <x v="1"/>
    <x v="5"/>
    <n v="-99.73"/>
    <x v="0"/>
    <x v="1"/>
    <n v="-5.5316035770999489E-3"/>
  </r>
  <r>
    <n v="2560"/>
    <x v="1"/>
    <x v="2"/>
    <x v="4"/>
    <s v="M"/>
    <n v="2"/>
    <n v="7845.46"/>
    <n v="0"/>
    <n v="7844.46"/>
    <n v="15688.92"/>
    <x v="1"/>
    <x v="0"/>
    <x v="4"/>
    <n v="3493.16"/>
    <x v="0"/>
    <x v="1"/>
    <n v="0.22265139984141674"/>
  </r>
  <r>
    <n v="2562"/>
    <x v="1"/>
    <x v="3"/>
    <x v="18"/>
    <s v="L"/>
    <n v="1"/>
    <n v="7594.7199999999993"/>
    <n v="0"/>
    <n v="7593.7199999999993"/>
    <n v="7593.7199999999993"/>
    <x v="42"/>
    <x v="0"/>
    <x v="2"/>
    <n v="-79.099999999999994"/>
    <x v="0"/>
    <x v="0"/>
    <n v="-1.0416502056962859E-2"/>
  </r>
  <r>
    <n v="2563"/>
    <x v="2"/>
    <x v="0"/>
    <x v="14"/>
    <s v="M"/>
    <n v="2"/>
    <n v="6880.21"/>
    <n v="0.54"/>
    <n v="6879.75"/>
    <n v="13759.5"/>
    <x v="111"/>
    <x v="0"/>
    <x v="5"/>
    <n v="2706.61"/>
    <x v="1"/>
    <x v="1"/>
    <n v="0.19670845597587122"/>
  </r>
  <r>
    <n v="2565"/>
    <x v="0"/>
    <x v="1"/>
    <x v="6"/>
    <s v="XL"/>
    <n v="4"/>
    <n v="6202.99"/>
    <n v="0"/>
    <n v="6201.99"/>
    <n v="24807.96"/>
    <x v="112"/>
    <x v="1"/>
    <x v="2"/>
    <n v="1754.48"/>
    <x v="0"/>
    <x v="0"/>
    <n v="7.0722461661498967E-2"/>
  </r>
  <r>
    <n v="2567"/>
    <x v="0"/>
    <x v="4"/>
    <x v="16"/>
    <s v="M"/>
    <n v="3"/>
    <n v="5282.31"/>
    <n v="0"/>
    <n v="5281.31"/>
    <n v="15843.93"/>
    <x v="28"/>
    <x v="1"/>
    <x v="1"/>
    <n v="1162.3"/>
    <x v="0"/>
    <x v="0"/>
    <n v="7.3359324359549671E-2"/>
  </r>
  <r>
    <n v="2569"/>
    <x v="0"/>
    <x v="2"/>
    <x v="2"/>
    <s v="L"/>
    <n v="2"/>
    <n v="5981.92"/>
    <n v="0.88"/>
    <n v="5981.8"/>
    <n v="11963.6"/>
    <x v="113"/>
    <x v="1"/>
    <x v="0"/>
    <n v="128.88999999999999"/>
    <x v="1"/>
    <x v="0"/>
    <n v="1.0773512989401181E-2"/>
  </r>
  <r>
    <n v="2575"/>
    <x v="2"/>
    <x v="3"/>
    <x v="11"/>
    <s v="XL"/>
    <n v="2"/>
    <n v="6186.9950000000008"/>
    <n v="0"/>
    <n v="6185.9950000000008"/>
    <n v="12371.990000000002"/>
    <x v="114"/>
    <x v="1"/>
    <x v="0"/>
    <n v="1982.16"/>
    <x v="0"/>
    <x v="1"/>
    <n v="0.16021351455990507"/>
  </r>
  <r>
    <n v="2578"/>
    <x v="2"/>
    <x v="1"/>
    <x v="3"/>
    <s v="9"/>
    <n v="2"/>
    <n v="4904.79"/>
    <n v="0"/>
    <n v="4903.79"/>
    <n v="9807.58"/>
    <x v="115"/>
    <x v="0"/>
    <x v="3"/>
    <n v="3550"/>
    <x v="0"/>
    <x v="1"/>
    <n v="0.36196492916703205"/>
  </r>
  <r>
    <n v="2579"/>
    <x v="1"/>
    <x v="1"/>
    <x v="6"/>
    <s v="7"/>
    <n v="3"/>
    <n v="6202.99"/>
    <n v="0"/>
    <n v="6201.99"/>
    <n v="18605.97"/>
    <x v="68"/>
    <x v="1"/>
    <x v="4"/>
    <n v="589.29999999999995"/>
    <x v="0"/>
    <x v="0"/>
    <n v="3.1672629806454591E-2"/>
  </r>
  <r>
    <n v="2580"/>
    <x v="1"/>
    <x v="3"/>
    <x v="7"/>
    <s v="M"/>
    <n v="1"/>
    <n v="5649.73"/>
    <n v="0"/>
    <n v="5648.73"/>
    <n v="5648.73"/>
    <x v="116"/>
    <x v="0"/>
    <x v="5"/>
    <n v="2978.85"/>
    <x v="0"/>
    <x v="0"/>
    <n v="0.52734862526621029"/>
  </r>
  <r>
    <n v="2589"/>
    <x v="2"/>
    <x v="3"/>
    <x v="11"/>
    <s v="M"/>
    <n v="3"/>
    <n v="6186.9950000000008"/>
    <n v="0"/>
    <n v="6185.9950000000008"/>
    <n v="18557.985000000001"/>
    <x v="117"/>
    <x v="1"/>
    <x v="5"/>
    <n v="1429.18"/>
    <x v="0"/>
    <x v="0"/>
    <n v="7.7011593661704111E-2"/>
  </r>
  <r>
    <n v="2594"/>
    <x v="0"/>
    <x v="3"/>
    <x v="18"/>
    <s v="XL"/>
    <n v="3"/>
    <n v="7594.7199999999993"/>
    <n v="0.67"/>
    <n v="7594.3899999999994"/>
    <n v="22783.17"/>
    <x v="118"/>
    <x v="0"/>
    <x v="0"/>
    <n v="1534.91"/>
    <x v="1"/>
    <x v="0"/>
    <n v="6.73703439863724E-2"/>
  </r>
  <r>
    <n v="2600"/>
    <x v="1"/>
    <x v="1"/>
    <x v="8"/>
    <s v="M"/>
    <n v="3"/>
    <n v="6010.71"/>
    <n v="0"/>
    <n v="6009.71"/>
    <n v="18029.13"/>
    <x v="90"/>
    <x v="1"/>
    <x v="1"/>
    <n v="803.62"/>
    <x v="0"/>
    <x v="0"/>
    <n v="4.4573420902727971E-2"/>
  </r>
  <r>
    <n v="2601"/>
    <x v="0"/>
    <x v="0"/>
    <x v="0"/>
    <s v="XL"/>
    <n v="1"/>
    <n v="5234.1550000000007"/>
    <n v="0"/>
    <n v="5233.1550000000007"/>
    <n v="5233.1550000000007"/>
    <x v="119"/>
    <x v="0"/>
    <x v="4"/>
    <n v="3739.4"/>
    <x v="0"/>
    <x v="0"/>
    <n v="0.71455938148210774"/>
  </r>
  <r>
    <n v="2602"/>
    <x v="1"/>
    <x v="4"/>
    <x v="12"/>
    <s v="XL"/>
    <n v="2"/>
    <n v="5620.64"/>
    <n v="0"/>
    <n v="5619.64"/>
    <n v="11239.28"/>
    <x v="78"/>
    <x v="1"/>
    <x v="1"/>
    <n v="3494.88"/>
    <x v="0"/>
    <x v="0"/>
    <n v="0.31095230299449789"/>
  </r>
  <r>
    <n v="2615"/>
    <x v="0"/>
    <x v="0"/>
    <x v="15"/>
    <s v="XL"/>
    <n v="3"/>
    <n v="5940.3850000000002"/>
    <n v="0.12"/>
    <n v="5939.5050000000001"/>
    <n v="17818.514999999999"/>
    <x v="120"/>
    <x v="1"/>
    <x v="1"/>
    <n v="2105.48"/>
    <x v="2"/>
    <x v="1"/>
    <n v="0.11816248435966746"/>
  </r>
  <r>
    <n v="2619"/>
    <x v="1"/>
    <x v="1"/>
    <x v="1"/>
    <s v="L"/>
    <n v="4"/>
    <n v="6216.29"/>
    <n v="0.65"/>
    <n v="6215.94"/>
    <n v="24863.759999999998"/>
    <x v="121"/>
    <x v="1"/>
    <x v="0"/>
    <n v="-300.27999999999997"/>
    <x v="1"/>
    <x v="0"/>
    <n v="-1.2077014900401226E-2"/>
  </r>
  <r>
    <n v="2621"/>
    <x v="1"/>
    <x v="0"/>
    <x v="15"/>
    <s v="L"/>
    <n v="3"/>
    <n v="5940.3850000000002"/>
    <n v="0.59"/>
    <n v="5939.9750000000004"/>
    <n v="17819.925000000003"/>
    <x v="122"/>
    <x v="1"/>
    <x v="3"/>
    <n v="-1152.8599999999999"/>
    <x v="1"/>
    <x v="0"/>
    <n v="-6.4694997313400573E-2"/>
  </r>
  <r>
    <n v="2628"/>
    <x v="1"/>
    <x v="2"/>
    <x v="19"/>
    <s v="L"/>
    <n v="4"/>
    <n v="5117.8649999999998"/>
    <n v="0.44"/>
    <n v="5117.3049999999994"/>
    <n v="20469.219999999998"/>
    <x v="123"/>
    <x v="0"/>
    <x v="1"/>
    <n v="-348.88"/>
    <x v="3"/>
    <x v="1"/>
    <n v="-1.7044127719571145E-2"/>
  </r>
  <r>
    <n v="2638"/>
    <x v="2"/>
    <x v="0"/>
    <x v="17"/>
    <s v="8"/>
    <n v="1"/>
    <n v="5178.83"/>
    <n v="0"/>
    <n v="5177.83"/>
    <n v="5177.83"/>
    <x v="121"/>
    <x v="1"/>
    <x v="1"/>
    <n v="654.11"/>
    <x v="0"/>
    <x v="0"/>
    <n v="0.12632898337720627"/>
  </r>
  <r>
    <n v="2640"/>
    <x v="1"/>
    <x v="3"/>
    <x v="18"/>
    <s v="9"/>
    <n v="2"/>
    <n v="7594.7199999999993"/>
    <n v="0"/>
    <n v="7593.7199999999993"/>
    <n v="15187.439999999999"/>
    <x v="124"/>
    <x v="1"/>
    <x v="3"/>
    <n v="861.92"/>
    <x v="0"/>
    <x v="0"/>
    <n v="5.6752158362436328E-2"/>
  </r>
  <r>
    <n v="2022"/>
    <x v="1"/>
    <x v="3"/>
    <x v="18"/>
    <s v="L"/>
    <n v="3"/>
    <n v="7594.7199999999993"/>
    <n v="0"/>
    <n v="7593.7199999999993"/>
    <n v="22781.159999999996"/>
    <x v="125"/>
    <x v="0"/>
    <x v="2"/>
    <n v="689.62"/>
    <x v="0"/>
    <x v="0"/>
    <n v="3.0271505050664678E-2"/>
  </r>
  <r>
    <n v="2646"/>
    <x v="2"/>
    <x v="0"/>
    <x v="17"/>
    <s v="XL"/>
    <n v="1"/>
    <n v="5178.83"/>
    <n v="0.89"/>
    <n v="5178.72"/>
    <n v="5178.72"/>
    <x v="126"/>
    <x v="0"/>
    <x v="5"/>
    <n v="2676.52"/>
    <x v="1"/>
    <x v="0"/>
    <n v="0.5168304136929589"/>
  </r>
  <r>
    <n v="2651"/>
    <x v="1"/>
    <x v="2"/>
    <x v="2"/>
    <s v="L"/>
    <n v="1"/>
    <n v="5981.92"/>
    <n v="0"/>
    <n v="5980.92"/>
    <n v="5980.92"/>
    <x v="127"/>
    <x v="1"/>
    <x v="5"/>
    <n v="-819.33"/>
    <x v="0"/>
    <x v="0"/>
    <n v="-0.13699063020404889"/>
  </r>
  <r>
    <n v="2657"/>
    <x v="1"/>
    <x v="4"/>
    <x v="16"/>
    <s v="M"/>
    <n v="4"/>
    <n v="5282.31"/>
    <n v="0"/>
    <n v="5281.31"/>
    <n v="21125.24"/>
    <x v="128"/>
    <x v="1"/>
    <x v="4"/>
    <n v="494.45"/>
    <x v="0"/>
    <x v="1"/>
    <n v="2.3405651249405923E-2"/>
  </r>
  <r>
    <n v="2658"/>
    <x v="0"/>
    <x v="1"/>
    <x v="6"/>
    <s v="L"/>
    <n v="1"/>
    <n v="6202.99"/>
    <n v="0"/>
    <n v="6201.99"/>
    <n v="6201.99"/>
    <x v="20"/>
    <x v="1"/>
    <x v="4"/>
    <n v="155.53"/>
    <x v="0"/>
    <x v="1"/>
    <n v="2.5077434823338962E-2"/>
  </r>
  <r>
    <n v="2663"/>
    <x v="1"/>
    <x v="3"/>
    <x v="11"/>
    <s v="L"/>
    <n v="2"/>
    <n v="6186.9950000000008"/>
    <n v="0.43"/>
    <n v="6186.4250000000011"/>
    <n v="12372.850000000002"/>
    <x v="129"/>
    <x v="0"/>
    <x v="4"/>
    <n v="3174.81"/>
    <x v="3"/>
    <x v="1"/>
    <n v="0.25659488315141615"/>
  </r>
  <r>
    <n v="2664"/>
    <x v="1"/>
    <x v="4"/>
    <x v="13"/>
    <s v="L"/>
    <n v="2"/>
    <n v="6577.39"/>
    <n v="0"/>
    <n v="6576.39"/>
    <n v="13152.78"/>
    <x v="130"/>
    <x v="1"/>
    <x v="2"/>
    <n v="1726.8"/>
    <x v="0"/>
    <x v="0"/>
    <n v="0.1312878342069129"/>
  </r>
  <r>
    <n v="2667"/>
    <x v="0"/>
    <x v="1"/>
    <x v="8"/>
    <s v="XL"/>
    <n v="3"/>
    <n v="6010.71"/>
    <n v="0"/>
    <n v="6009.71"/>
    <n v="18029.13"/>
    <x v="131"/>
    <x v="1"/>
    <x v="4"/>
    <n v="-623.95000000000005"/>
    <x v="0"/>
    <x v="1"/>
    <n v="-3.4607881800175606E-2"/>
  </r>
  <r>
    <n v="2027"/>
    <x v="2"/>
    <x v="0"/>
    <x v="17"/>
    <s v="12"/>
    <n v="4"/>
    <n v="5178.83"/>
    <n v="0"/>
    <n v="5177.83"/>
    <n v="20711.32"/>
    <x v="132"/>
    <x v="0"/>
    <x v="4"/>
    <n v="3951.42"/>
    <x v="0"/>
    <x v="1"/>
    <n v="0.19078552212027047"/>
  </r>
  <r>
    <n v="2672"/>
    <x v="0"/>
    <x v="1"/>
    <x v="8"/>
    <s v="XL"/>
    <n v="2"/>
    <n v="6010.71"/>
    <n v="0"/>
    <n v="6009.71"/>
    <n v="12019.42"/>
    <x v="133"/>
    <x v="1"/>
    <x v="2"/>
    <n v="67.58"/>
    <x v="0"/>
    <x v="0"/>
    <n v="5.6225674782976213E-3"/>
  </r>
  <r>
    <n v="2675"/>
    <x v="0"/>
    <x v="0"/>
    <x v="17"/>
    <s v="12"/>
    <n v="3"/>
    <n v="5178.83"/>
    <n v="0"/>
    <n v="5177.83"/>
    <n v="15533.49"/>
    <x v="58"/>
    <x v="1"/>
    <x v="0"/>
    <n v="2731.71"/>
    <x v="0"/>
    <x v="1"/>
    <n v="0.17585938510920598"/>
  </r>
  <r>
    <n v="2682"/>
    <x v="2"/>
    <x v="2"/>
    <x v="10"/>
    <s v="XL"/>
    <n v="4"/>
    <n v="5355.64"/>
    <n v="0.41"/>
    <n v="5355.05"/>
    <n v="21420.2"/>
    <x v="134"/>
    <x v="0"/>
    <x v="1"/>
    <n v="3614.76"/>
    <x v="3"/>
    <x v="0"/>
    <n v="0.16875472684662141"/>
  </r>
  <r>
    <n v="2683"/>
    <x v="1"/>
    <x v="1"/>
    <x v="6"/>
    <s v="XL"/>
    <n v="1"/>
    <n v="6202.99"/>
    <n v="0"/>
    <n v="6201.99"/>
    <n v="6201.99"/>
    <x v="135"/>
    <x v="1"/>
    <x v="2"/>
    <n v="1119.71"/>
    <x v="0"/>
    <x v="1"/>
    <n v="0.18054043943959924"/>
  </r>
  <r>
    <n v="2685"/>
    <x v="1"/>
    <x v="1"/>
    <x v="6"/>
    <s v="M"/>
    <n v="4"/>
    <n v="6202.99"/>
    <n v="0"/>
    <n v="6201.99"/>
    <n v="24807.96"/>
    <x v="136"/>
    <x v="0"/>
    <x v="0"/>
    <n v="1377.72"/>
    <x v="0"/>
    <x v="1"/>
    <n v="5.5535400734280455E-2"/>
  </r>
  <r>
    <n v="2709"/>
    <x v="1"/>
    <x v="4"/>
    <x v="12"/>
    <s v="10"/>
    <n v="1"/>
    <n v="5620.64"/>
    <n v="0.48"/>
    <n v="5620.12"/>
    <n v="5620.12"/>
    <x v="137"/>
    <x v="0"/>
    <x v="4"/>
    <n v="2835.93"/>
    <x v="3"/>
    <x v="1"/>
    <n v="0.50460310456004498"/>
  </r>
  <r>
    <n v="2713"/>
    <x v="2"/>
    <x v="1"/>
    <x v="8"/>
    <s v="L"/>
    <n v="1"/>
    <n v="6010.71"/>
    <n v="0.55000000000000004"/>
    <n v="6010.26"/>
    <n v="6010.26"/>
    <x v="115"/>
    <x v="0"/>
    <x v="5"/>
    <n v="3663.49"/>
    <x v="1"/>
    <x v="1"/>
    <n v="0.60953935437069273"/>
  </r>
  <r>
    <n v="2731"/>
    <x v="1"/>
    <x v="1"/>
    <x v="6"/>
    <s v="M"/>
    <n v="3"/>
    <n v="6202.99"/>
    <n v="0"/>
    <n v="6201.99"/>
    <n v="18605.97"/>
    <x v="138"/>
    <x v="1"/>
    <x v="5"/>
    <n v="3961.27"/>
    <x v="0"/>
    <x v="1"/>
    <n v="0.21290317032651346"/>
  </r>
  <r>
    <n v="2738"/>
    <x v="0"/>
    <x v="3"/>
    <x v="18"/>
    <s v="M"/>
    <n v="3"/>
    <n v="7594.7199999999993"/>
    <n v="0.39"/>
    <n v="7594.11"/>
    <n v="22782.329999999998"/>
    <x v="139"/>
    <x v="0"/>
    <x v="1"/>
    <n v="-712.53"/>
    <x v="3"/>
    <x v="1"/>
    <n v="-3.1275554344090357E-2"/>
  </r>
  <r>
    <n v="2739"/>
    <x v="1"/>
    <x v="4"/>
    <x v="12"/>
    <s v="L"/>
    <n v="2"/>
    <n v="5620.64"/>
    <n v="0.26"/>
    <n v="5619.9000000000005"/>
    <n v="11239.800000000001"/>
    <x v="71"/>
    <x v="1"/>
    <x v="5"/>
    <n v="2350.69"/>
    <x v="4"/>
    <x v="1"/>
    <n v="0.20913984234594921"/>
  </r>
  <r>
    <n v="2754"/>
    <x v="1"/>
    <x v="3"/>
    <x v="18"/>
    <s v="XL"/>
    <n v="1"/>
    <n v="7594.7199999999993"/>
    <n v="0"/>
    <n v="7593.7199999999993"/>
    <n v="7593.7199999999993"/>
    <x v="140"/>
    <x v="1"/>
    <x v="5"/>
    <n v="3565.12"/>
    <x v="0"/>
    <x v="1"/>
    <n v="0.46948267779164893"/>
  </r>
  <r>
    <n v="2755"/>
    <x v="2"/>
    <x v="4"/>
    <x v="9"/>
    <s v="M"/>
    <n v="3"/>
    <n v="7557.71"/>
    <n v="0"/>
    <n v="7556.71"/>
    <n v="22670.13"/>
    <x v="22"/>
    <x v="1"/>
    <x v="3"/>
    <n v="161.94999999999999"/>
    <x v="0"/>
    <x v="0"/>
    <n v="7.1437614164541613E-3"/>
  </r>
  <r>
    <n v="2763"/>
    <x v="0"/>
    <x v="0"/>
    <x v="15"/>
    <s v="10"/>
    <n v="4"/>
    <n v="5940.3850000000002"/>
    <n v="0"/>
    <n v="5939.3850000000002"/>
    <n v="23757.54"/>
    <x v="86"/>
    <x v="1"/>
    <x v="1"/>
    <n v="-763.34"/>
    <x v="0"/>
    <x v="0"/>
    <n v="-3.2130431012638516E-2"/>
  </r>
  <r>
    <n v="2781"/>
    <x v="2"/>
    <x v="3"/>
    <x v="11"/>
    <s v="12"/>
    <n v="1"/>
    <n v="6186.9950000000008"/>
    <n v="0.68"/>
    <n v="6186.6750000000011"/>
    <n v="6186.6750000000011"/>
    <x v="141"/>
    <x v="0"/>
    <x v="3"/>
    <n v="1504.31"/>
    <x v="1"/>
    <x v="2"/>
    <n v="0.24315322851127619"/>
  </r>
  <r>
    <n v="2785"/>
    <x v="0"/>
    <x v="1"/>
    <x v="3"/>
    <s v="L"/>
    <n v="2"/>
    <n v="4904.79"/>
    <n v="0"/>
    <n v="4903.79"/>
    <n v="9807.58"/>
    <x v="126"/>
    <x v="0"/>
    <x v="0"/>
    <n v="-834.71"/>
    <x v="0"/>
    <x v="0"/>
    <n v="-8.5108660852116422E-2"/>
  </r>
  <r>
    <n v="2787"/>
    <x v="1"/>
    <x v="3"/>
    <x v="11"/>
    <s v="12"/>
    <n v="3"/>
    <n v="6186.9950000000008"/>
    <n v="0"/>
    <n v="6185.9950000000008"/>
    <n v="18557.985000000001"/>
    <x v="142"/>
    <x v="1"/>
    <x v="1"/>
    <n v="22.93"/>
    <x v="0"/>
    <x v="0"/>
    <n v="1.2355867299170681E-3"/>
  </r>
  <r>
    <n v="2801"/>
    <x v="0"/>
    <x v="4"/>
    <x v="9"/>
    <s v="8"/>
    <n v="2"/>
    <n v="7557.71"/>
    <n v="0"/>
    <n v="7556.71"/>
    <n v="15113.42"/>
    <x v="101"/>
    <x v="0"/>
    <x v="2"/>
    <n v="2966.12"/>
    <x v="0"/>
    <x v="0"/>
    <n v="0.19625736597011131"/>
  </r>
  <r>
    <n v="2802"/>
    <x v="2"/>
    <x v="4"/>
    <x v="12"/>
    <s v="L"/>
    <n v="3"/>
    <n v="5620.64"/>
    <n v="0"/>
    <n v="5619.64"/>
    <n v="16858.920000000002"/>
    <x v="143"/>
    <x v="1"/>
    <x v="5"/>
    <n v="-231.73"/>
    <x v="0"/>
    <x v="0"/>
    <n v="-1.3745245840184304E-2"/>
  </r>
  <r>
    <n v="2806"/>
    <x v="1"/>
    <x v="2"/>
    <x v="19"/>
    <s v="7"/>
    <n v="3"/>
    <n v="5117.8649999999998"/>
    <n v="0"/>
    <n v="5116.8649999999998"/>
    <n v="15350.594999999999"/>
    <x v="144"/>
    <x v="1"/>
    <x v="3"/>
    <n v="2407.08"/>
    <x v="0"/>
    <x v="0"/>
    <n v="0.15680695113121024"/>
  </r>
  <r>
    <n v="2807"/>
    <x v="1"/>
    <x v="3"/>
    <x v="18"/>
    <s v="L"/>
    <n v="2"/>
    <n v="7594.7199999999993"/>
    <n v="0"/>
    <n v="7593.7199999999993"/>
    <n v="15187.439999999999"/>
    <x v="145"/>
    <x v="1"/>
    <x v="0"/>
    <n v="875.36"/>
    <x v="0"/>
    <x v="0"/>
    <n v="5.7637100130107519E-2"/>
  </r>
  <r>
    <n v="2811"/>
    <x v="2"/>
    <x v="2"/>
    <x v="4"/>
    <s v="8"/>
    <n v="3"/>
    <n v="7845.46"/>
    <n v="0"/>
    <n v="7844.46"/>
    <n v="23533.38"/>
    <x v="146"/>
    <x v="0"/>
    <x v="3"/>
    <n v="-77.61"/>
    <x v="0"/>
    <x v="1"/>
    <n v="-3.297868814424447E-3"/>
  </r>
  <r>
    <n v="2816"/>
    <x v="2"/>
    <x v="2"/>
    <x v="10"/>
    <s v="M"/>
    <n v="3"/>
    <n v="5355.64"/>
    <n v="0"/>
    <n v="5354.64"/>
    <n v="16063.920000000002"/>
    <x v="147"/>
    <x v="0"/>
    <x v="0"/>
    <n v="916.13"/>
    <x v="0"/>
    <x v="1"/>
    <n v="5.703028899546312E-2"/>
  </r>
  <r>
    <n v="2032"/>
    <x v="0"/>
    <x v="0"/>
    <x v="14"/>
    <s v="10"/>
    <n v="2"/>
    <n v="6880.21"/>
    <n v="0.96"/>
    <n v="6880.17"/>
    <n v="13760.34"/>
    <x v="148"/>
    <x v="1"/>
    <x v="5"/>
    <n v="-596.41"/>
    <x v="1"/>
    <x v="0"/>
    <n v="-4.3342679032640177E-2"/>
  </r>
  <r>
    <n v="2820"/>
    <x v="0"/>
    <x v="1"/>
    <x v="3"/>
    <s v="M"/>
    <n v="4"/>
    <n v="4904.79"/>
    <n v="0"/>
    <n v="4903.79"/>
    <n v="19615.16"/>
    <x v="149"/>
    <x v="1"/>
    <x v="2"/>
    <n v="2078.39"/>
    <x v="0"/>
    <x v="0"/>
    <n v="0.10595835058189686"/>
  </r>
  <r>
    <n v="2823"/>
    <x v="2"/>
    <x v="0"/>
    <x v="14"/>
    <s v="L"/>
    <n v="1"/>
    <n v="6880.21"/>
    <n v="0"/>
    <n v="6879.21"/>
    <n v="6879.21"/>
    <x v="150"/>
    <x v="0"/>
    <x v="2"/>
    <n v="-1125.9100000000001"/>
    <x v="0"/>
    <x v="0"/>
    <n v="-0.16366850263329658"/>
  </r>
  <r>
    <n v="2824"/>
    <x v="2"/>
    <x v="2"/>
    <x v="2"/>
    <s v="L"/>
    <n v="4"/>
    <n v="5981.92"/>
    <n v="0"/>
    <n v="5980.92"/>
    <n v="23923.68"/>
    <x v="151"/>
    <x v="1"/>
    <x v="2"/>
    <n v="1620.37"/>
    <x v="0"/>
    <x v="0"/>
    <n v="6.7730800612614772E-2"/>
  </r>
  <r>
    <n v="2831"/>
    <x v="0"/>
    <x v="3"/>
    <x v="5"/>
    <s v="7"/>
    <n v="4"/>
    <n v="5873.83"/>
    <n v="0"/>
    <n v="5872.83"/>
    <n v="23491.32"/>
    <x v="21"/>
    <x v="1"/>
    <x v="2"/>
    <n v="3134.87"/>
    <x v="0"/>
    <x v="0"/>
    <n v="0.13344801398984815"/>
  </r>
  <r>
    <n v="2833"/>
    <x v="0"/>
    <x v="3"/>
    <x v="7"/>
    <s v="XL"/>
    <n v="4"/>
    <n v="5649.73"/>
    <n v="0"/>
    <n v="5648.73"/>
    <n v="22594.92"/>
    <x v="152"/>
    <x v="1"/>
    <x v="1"/>
    <n v="-16.04"/>
    <x v="0"/>
    <x v="1"/>
    <n v="-7.098940823866604E-4"/>
  </r>
  <r>
    <n v="2838"/>
    <x v="0"/>
    <x v="2"/>
    <x v="2"/>
    <s v="XL"/>
    <n v="4"/>
    <n v="5981.92"/>
    <n v="0"/>
    <n v="5980.92"/>
    <n v="23923.68"/>
    <x v="153"/>
    <x v="0"/>
    <x v="1"/>
    <n v="-990.99"/>
    <x v="0"/>
    <x v="1"/>
    <n v="-4.1422975060693007E-2"/>
  </r>
  <r>
    <n v="2850"/>
    <x v="1"/>
    <x v="1"/>
    <x v="1"/>
    <s v="XL"/>
    <n v="2"/>
    <n v="6216.29"/>
    <n v="0"/>
    <n v="6215.29"/>
    <n v="12430.58"/>
    <x v="21"/>
    <x v="0"/>
    <x v="1"/>
    <n v="458.86"/>
    <x v="0"/>
    <x v="0"/>
    <n v="3.6913804504697285E-2"/>
  </r>
  <r>
    <n v="2866"/>
    <x v="1"/>
    <x v="3"/>
    <x v="5"/>
    <s v="11"/>
    <n v="2"/>
    <n v="5873.83"/>
    <n v="0"/>
    <n v="5872.83"/>
    <n v="11745.66"/>
    <x v="154"/>
    <x v="1"/>
    <x v="1"/>
    <n v="273.27999999999997"/>
    <x v="0"/>
    <x v="1"/>
    <n v="2.3266466081940052E-2"/>
  </r>
  <r>
    <n v="2867"/>
    <x v="2"/>
    <x v="0"/>
    <x v="14"/>
    <s v="11"/>
    <n v="1"/>
    <n v="6880.21"/>
    <n v="0"/>
    <n v="6879.21"/>
    <n v="6879.21"/>
    <x v="155"/>
    <x v="1"/>
    <x v="0"/>
    <n v="3190.43"/>
    <x v="0"/>
    <x v="1"/>
    <n v="0.46377854433866678"/>
  </r>
  <r>
    <n v="2869"/>
    <x v="1"/>
    <x v="0"/>
    <x v="17"/>
    <s v="M"/>
    <n v="4"/>
    <n v="5178.83"/>
    <n v="0"/>
    <n v="5177.83"/>
    <n v="20711.32"/>
    <x v="68"/>
    <x v="1"/>
    <x v="1"/>
    <n v="1550.3"/>
    <x v="0"/>
    <x v="0"/>
    <n v="7.4852785819542161E-2"/>
  </r>
  <r>
    <n v="2870"/>
    <x v="1"/>
    <x v="3"/>
    <x v="11"/>
    <s v="M"/>
    <n v="1"/>
    <n v="6186.9950000000008"/>
    <n v="0"/>
    <n v="6185.9950000000008"/>
    <n v="6185.9950000000008"/>
    <x v="156"/>
    <x v="0"/>
    <x v="4"/>
    <n v="771.96"/>
    <x v="0"/>
    <x v="0"/>
    <n v="0.12479156546359962"/>
  </r>
  <r>
    <n v="2871"/>
    <x v="2"/>
    <x v="3"/>
    <x v="7"/>
    <s v="M"/>
    <n v="1"/>
    <n v="5649.73"/>
    <n v="0"/>
    <n v="5648.73"/>
    <n v="5648.73"/>
    <x v="157"/>
    <x v="0"/>
    <x v="3"/>
    <n v="1002.21"/>
    <x v="0"/>
    <x v="1"/>
    <n v="0.17742218162312592"/>
  </r>
  <r>
    <n v="2875"/>
    <x v="0"/>
    <x v="1"/>
    <x v="6"/>
    <s v="L"/>
    <n v="4"/>
    <n v="6202.99"/>
    <n v="0"/>
    <n v="6201.99"/>
    <n v="24807.96"/>
    <x v="158"/>
    <x v="0"/>
    <x v="3"/>
    <n v="1559.28"/>
    <x v="0"/>
    <x v="0"/>
    <n v="6.2854019435697253E-2"/>
  </r>
  <r>
    <n v="2050"/>
    <x v="1"/>
    <x v="2"/>
    <x v="4"/>
    <s v="6"/>
    <n v="3"/>
    <n v="7845.46"/>
    <n v="0"/>
    <n v="7844.46"/>
    <n v="23533.38"/>
    <x v="37"/>
    <x v="0"/>
    <x v="5"/>
    <n v="-1000.03"/>
    <x v="0"/>
    <x v="1"/>
    <n v="-4.2494108368623627E-2"/>
  </r>
  <r>
    <n v="2892"/>
    <x v="0"/>
    <x v="4"/>
    <x v="12"/>
    <s v="M"/>
    <n v="4"/>
    <n v="5620.64"/>
    <n v="0"/>
    <n v="5619.64"/>
    <n v="22478.560000000001"/>
    <x v="159"/>
    <x v="1"/>
    <x v="3"/>
    <n v="-1195.79"/>
    <x v="0"/>
    <x v="0"/>
    <n v="-5.3196912969514058E-2"/>
  </r>
  <r>
    <n v="2893"/>
    <x v="0"/>
    <x v="4"/>
    <x v="9"/>
    <s v="10"/>
    <n v="1"/>
    <n v="7557.71"/>
    <n v="0.61"/>
    <n v="7557.32"/>
    <n v="7557.32"/>
    <x v="160"/>
    <x v="0"/>
    <x v="4"/>
    <n v="780.43"/>
    <x v="1"/>
    <x v="1"/>
    <n v="0.10326808974610047"/>
  </r>
  <r>
    <n v="2899"/>
    <x v="2"/>
    <x v="2"/>
    <x v="10"/>
    <s v="L"/>
    <n v="3"/>
    <n v="5355.64"/>
    <n v="0"/>
    <n v="5354.64"/>
    <n v="16063.920000000002"/>
    <x v="161"/>
    <x v="1"/>
    <x v="2"/>
    <n v="-91.78"/>
    <x v="0"/>
    <x v="1"/>
    <n v="-5.7134248676537231E-3"/>
  </r>
  <r>
    <n v="2006"/>
    <x v="2"/>
    <x v="1"/>
    <x v="1"/>
    <s v="XL"/>
    <n v="2"/>
    <n v="6216.29"/>
    <n v="0"/>
    <n v="6215.29"/>
    <n v="12430.58"/>
    <x v="162"/>
    <x v="0"/>
    <x v="2"/>
    <n v="-716.79"/>
    <x v="0"/>
    <x v="2"/>
    <n v="-5.7663439678599063E-2"/>
  </r>
  <r>
    <n v="2904"/>
    <x v="0"/>
    <x v="0"/>
    <x v="0"/>
    <s v="9"/>
    <n v="2"/>
    <n v="5234.1550000000007"/>
    <n v="0.54"/>
    <n v="5233.6950000000006"/>
    <n v="10467.390000000001"/>
    <x v="163"/>
    <x v="1"/>
    <x v="3"/>
    <n v="2711.75"/>
    <x v="1"/>
    <x v="1"/>
    <n v="0.2590664912647756"/>
  </r>
  <r>
    <n v="2906"/>
    <x v="0"/>
    <x v="1"/>
    <x v="1"/>
    <s v="7"/>
    <n v="1"/>
    <n v="6216.29"/>
    <n v="0"/>
    <n v="6215.29"/>
    <n v="6215.29"/>
    <x v="164"/>
    <x v="0"/>
    <x v="4"/>
    <n v="-291.45"/>
    <x v="0"/>
    <x v="0"/>
    <n v="-4.6892421753449959E-2"/>
  </r>
  <r>
    <n v="2912"/>
    <x v="1"/>
    <x v="4"/>
    <x v="9"/>
    <s v="XL"/>
    <n v="2"/>
    <n v="7557.71"/>
    <n v="0.98"/>
    <n v="7557.69"/>
    <n v="15115.38"/>
    <x v="165"/>
    <x v="1"/>
    <x v="3"/>
    <n v="1218.22"/>
    <x v="1"/>
    <x v="0"/>
    <n v="8.0594731988213333E-2"/>
  </r>
  <r>
    <n v="2928"/>
    <x v="0"/>
    <x v="1"/>
    <x v="1"/>
    <s v="6"/>
    <n v="3"/>
    <n v="6216.29"/>
    <n v="0"/>
    <n v="6215.29"/>
    <n v="18645.87"/>
    <x v="166"/>
    <x v="1"/>
    <x v="4"/>
    <n v="-1064.8599999999999"/>
    <x v="0"/>
    <x v="0"/>
    <n v="-5.710969775076196E-2"/>
  </r>
  <r>
    <n v="2935"/>
    <x v="2"/>
    <x v="1"/>
    <x v="6"/>
    <s v="L"/>
    <n v="4"/>
    <n v="6202.99"/>
    <n v="0"/>
    <n v="6201.99"/>
    <n v="24807.96"/>
    <x v="167"/>
    <x v="1"/>
    <x v="0"/>
    <n v="478.07"/>
    <x v="0"/>
    <x v="0"/>
    <n v="1.9270830813980674E-2"/>
  </r>
  <r>
    <n v="2936"/>
    <x v="0"/>
    <x v="3"/>
    <x v="7"/>
    <s v="XL"/>
    <n v="1"/>
    <n v="5649.73"/>
    <n v="0.28999999999999998"/>
    <n v="5649.0199999999995"/>
    <n v="5649.0199999999995"/>
    <x v="86"/>
    <x v="0"/>
    <x v="1"/>
    <n v="1933.1"/>
    <x v="4"/>
    <x v="0"/>
    <n v="0.34220094812905605"/>
  </r>
  <r>
    <n v="2938"/>
    <x v="1"/>
    <x v="0"/>
    <x v="15"/>
    <s v="L"/>
    <n v="1"/>
    <n v="5940.3850000000002"/>
    <n v="0"/>
    <n v="5939.3850000000002"/>
    <n v="5939.3850000000002"/>
    <x v="168"/>
    <x v="1"/>
    <x v="4"/>
    <n v="2596.64"/>
    <x v="0"/>
    <x v="1"/>
    <n v="0.43719004577073212"/>
  </r>
  <r>
    <n v="2942"/>
    <x v="0"/>
    <x v="3"/>
    <x v="7"/>
    <s v="10"/>
    <n v="4"/>
    <n v="5649.73"/>
    <n v="0.56999999999999995"/>
    <n v="5649.2999999999993"/>
    <n v="22597.199999999997"/>
    <x v="169"/>
    <x v="1"/>
    <x v="3"/>
    <n v="-68.53"/>
    <x v="1"/>
    <x v="1"/>
    <n v="-3.0326766148018342E-3"/>
  </r>
  <r>
    <n v="2966"/>
    <x v="1"/>
    <x v="3"/>
    <x v="7"/>
    <s v="8"/>
    <n v="3"/>
    <n v="5649.73"/>
    <n v="0"/>
    <n v="5648.73"/>
    <n v="16946.189999999999"/>
    <x v="105"/>
    <x v="1"/>
    <x v="1"/>
    <n v="333.36"/>
    <x v="0"/>
    <x v="1"/>
    <n v="1.9671678412669754E-2"/>
  </r>
  <r>
    <n v="2975"/>
    <x v="1"/>
    <x v="0"/>
    <x v="14"/>
    <s v="10"/>
    <n v="1"/>
    <n v="6880.21"/>
    <n v="0"/>
    <n v="6879.21"/>
    <n v="6879.21"/>
    <x v="21"/>
    <x v="1"/>
    <x v="4"/>
    <n v="3279.17"/>
    <x v="0"/>
    <x v="0"/>
    <n v="0.47667828137242502"/>
  </r>
  <r>
    <n v="2981"/>
    <x v="1"/>
    <x v="0"/>
    <x v="17"/>
    <s v="M"/>
    <n v="4"/>
    <n v="5178.83"/>
    <n v="0"/>
    <n v="5177.83"/>
    <n v="20711.32"/>
    <x v="170"/>
    <x v="0"/>
    <x v="1"/>
    <n v="2777.67"/>
    <x v="0"/>
    <x v="1"/>
    <n v="0.13411361516310888"/>
  </r>
  <r>
    <n v="2989"/>
    <x v="2"/>
    <x v="0"/>
    <x v="14"/>
    <s v="M"/>
    <n v="1"/>
    <n v="6880.21"/>
    <n v="0"/>
    <n v="6879.21"/>
    <n v="6879.21"/>
    <x v="171"/>
    <x v="1"/>
    <x v="3"/>
    <n v="2459.52"/>
    <x v="0"/>
    <x v="0"/>
    <n v="0.3575294256171857"/>
  </r>
  <r>
    <n v="2993"/>
    <x v="2"/>
    <x v="0"/>
    <x v="17"/>
    <s v="M"/>
    <n v="4"/>
    <n v="5178.83"/>
    <n v="0"/>
    <n v="5177.83"/>
    <n v="20711.32"/>
    <x v="172"/>
    <x v="0"/>
    <x v="0"/>
    <n v="1770.74"/>
    <x v="0"/>
    <x v="0"/>
    <n v="8.5496240703151705E-2"/>
  </r>
  <r>
    <n v="3003"/>
    <x v="2"/>
    <x v="2"/>
    <x v="4"/>
    <s v="XL"/>
    <n v="2"/>
    <n v="7845.46"/>
    <n v="0"/>
    <n v="7844.46"/>
    <n v="15688.92"/>
    <x v="173"/>
    <x v="1"/>
    <x v="3"/>
    <n v="-646.26"/>
    <x v="0"/>
    <x v="2"/>
    <n v="-4.1192127947621636E-2"/>
  </r>
  <r>
    <n v="3013"/>
    <x v="1"/>
    <x v="2"/>
    <x v="4"/>
    <s v="XL"/>
    <n v="4"/>
    <n v="7845.46"/>
    <n v="0.96"/>
    <n v="7845.42"/>
    <n v="31381.68"/>
    <x v="174"/>
    <x v="0"/>
    <x v="5"/>
    <n v="1039.0899999999999"/>
    <x v="1"/>
    <x v="1"/>
    <n v="3.3111356689635475E-2"/>
  </r>
  <r>
    <n v="3021"/>
    <x v="0"/>
    <x v="0"/>
    <x v="14"/>
    <s v="6"/>
    <n v="4"/>
    <n v="6880.21"/>
    <n v="0.42"/>
    <n v="6879.63"/>
    <n v="27518.52"/>
    <x v="27"/>
    <x v="0"/>
    <x v="0"/>
    <n v="3050.7"/>
    <x v="3"/>
    <x v="2"/>
    <n v="0.11085988636016762"/>
  </r>
  <r>
    <n v="3025"/>
    <x v="1"/>
    <x v="1"/>
    <x v="3"/>
    <s v="L"/>
    <n v="4"/>
    <n v="4904.79"/>
    <n v="0"/>
    <n v="4903.79"/>
    <n v="19615.16"/>
    <x v="164"/>
    <x v="0"/>
    <x v="0"/>
    <n v="3005.88"/>
    <x v="0"/>
    <x v="0"/>
    <n v="0.15324269595557721"/>
  </r>
  <r>
    <n v="3027"/>
    <x v="0"/>
    <x v="3"/>
    <x v="5"/>
    <s v="L"/>
    <n v="2"/>
    <n v="5873.83"/>
    <n v="0"/>
    <n v="5872.83"/>
    <n v="11745.66"/>
    <x v="175"/>
    <x v="0"/>
    <x v="4"/>
    <n v="-1038.79"/>
    <x v="0"/>
    <x v="0"/>
    <n v="-8.8440326043832354E-2"/>
  </r>
  <r>
    <n v="3028"/>
    <x v="1"/>
    <x v="4"/>
    <x v="16"/>
    <s v="L"/>
    <n v="4"/>
    <n v="5282.31"/>
    <n v="0"/>
    <n v="5281.31"/>
    <n v="21125.24"/>
    <x v="176"/>
    <x v="0"/>
    <x v="5"/>
    <n v="-471.86"/>
    <x v="0"/>
    <x v="1"/>
    <n v="-2.2336314285660186E-2"/>
  </r>
  <r>
    <n v="3031"/>
    <x v="1"/>
    <x v="0"/>
    <x v="17"/>
    <s v="M"/>
    <n v="4"/>
    <n v="5178.83"/>
    <n v="0"/>
    <n v="5177.83"/>
    <n v="20711.32"/>
    <x v="177"/>
    <x v="1"/>
    <x v="5"/>
    <n v="-117.68"/>
    <x v="0"/>
    <x v="2"/>
    <n v="-5.681916942039426E-3"/>
  </r>
  <r>
    <n v="3036"/>
    <x v="1"/>
    <x v="1"/>
    <x v="6"/>
    <s v="11"/>
    <n v="2"/>
    <n v="6202.99"/>
    <n v="0"/>
    <n v="6201.99"/>
    <n v="12403.98"/>
    <x v="178"/>
    <x v="0"/>
    <x v="0"/>
    <n v="1129.1099999999999"/>
    <x v="0"/>
    <x v="0"/>
    <n v="9.1028040999743626E-2"/>
  </r>
  <r>
    <n v="3043"/>
    <x v="2"/>
    <x v="4"/>
    <x v="9"/>
    <s v="L"/>
    <n v="2"/>
    <n v="7557.71"/>
    <n v="0"/>
    <n v="7556.71"/>
    <n v="15113.42"/>
    <x v="179"/>
    <x v="0"/>
    <x v="4"/>
    <n v="147.79"/>
    <x v="0"/>
    <x v="1"/>
    <n v="9.7787264563546829E-3"/>
  </r>
  <r>
    <n v="3048"/>
    <x v="0"/>
    <x v="1"/>
    <x v="1"/>
    <s v="6"/>
    <n v="1"/>
    <n v="6216.29"/>
    <n v="0.23"/>
    <n v="6215.5199999999995"/>
    <n v="6215.5199999999995"/>
    <x v="180"/>
    <x v="0"/>
    <x v="0"/>
    <n v="517.16999999999996"/>
    <x v="4"/>
    <x v="1"/>
    <n v="8.3206232141478112E-2"/>
  </r>
  <r>
    <n v="3059"/>
    <x v="0"/>
    <x v="4"/>
    <x v="9"/>
    <s v="L"/>
    <n v="3"/>
    <n v="7557.71"/>
    <n v="1"/>
    <n v="7557.71"/>
    <n v="22673.13"/>
    <x v="181"/>
    <x v="1"/>
    <x v="0"/>
    <n v="3692.43"/>
    <x v="1"/>
    <x v="1"/>
    <n v="0.16285488593767158"/>
  </r>
  <r>
    <n v="3063"/>
    <x v="1"/>
    <x v="4"/>
    <x v="16"/>
    <s v="M"/>
    <n v="2"/>
    <n v="5282.31"/>
    <n v="0"/>
    <n v="5281.31"/>
    <n v="10562.62"/>
    <x v="182"/>
    <x v="1"/>
    <x v="2"/>
    <n v="3674.74"/>
    <x v="0"/>
    <x v="1"/>
    <n v="0.34790042622000977"/>
  </r>
  <r>
    <n v="3067"/>
    <x v="2"/>
    <x v="1"/>
    <x v="3"/>
    <s v="9"/>
    <n v="4"/>
    <n v="4904.79"/>
    <n v="0"/>
    <n v="4903.79"/>
    <n v="19615.16"/>
    <x v="183"/>
    <x v="0"/>
    <x v="0"/>
    <n v="1939.56"/>
    <x v="0"/>
    <x v="0"/>
    <n v="9.8880661692282906E-2"/>
  </r>
  <r>
    <n v="3078"/>
    <x v="2"/>
    <x v="4"/>
    <x v="12"/>
    <s v="M"/>
    <n v="1"/>
    <n v="5620.64"/>
    <n v="0"/>
    <n v="5619.64"/>
    <n v="5619.64"/>
    <x v="2"/>
    <x v="1"/>
    <x v="4"/>
    <n v="1820.38"/>
    <x v="0"/>
    <x v="0"/>
    <n v="0.32393178210703888"/>
  </r>
  <r>
    <n v="3087"/>
    <x v="1"/>
    <x v="1"/>
    <x v="1"/>
    <s v="M"/>
    <n v="3"/>
    <n v="6216.29"/>
    <n v="0"/>
    <n v="6215.29"/>
    <n v="18645.87"/>
    <x v="153"/>
    <x v="0"/>
    <x v="3"/>
    <n v="2785.94"/>
    <x v="0"/>
    <x v="1"/>
    <n v="0.14941324808121048"/>
  </r>
  <r>
    <n v="3093"/>
    <x v="0"/>
    <x v="0"/>
    <x v="0"/>
    <s v="10"/>
    <n v="3"/>
    <n v="5234.1550000000007"/>
    <n v="0"/>
    <n v="5233.1550000000007"/>
    <n v="15699.465000000002"/>
    <x v="123"/>
    <x v="0"/>
    <x v="5"/>
    <n v="28.77"/>
    <x v="0"/>
    <x v="1"/>
    <n v="1.8325465230821557E-3"/>
  </r>
  <r>
    <n v="3100"/>
    <x v="0"/>
    <x v="3"/>
    <x v="18"/>
    <s v="7"/>
    <n v="4"/>
    <n v="7594.7199999999993"/>
    <n v="0.97"/>
    <n v="7594.69"/>
    <n v="30378.76"/>
    <x v="37"/>
    <x v="0"/>
    <x v="2"/>
    <n v="1861.15"/>
    <x v="1"/>
    <x v="1"/>
    <n v="6.1264844253024156E-2"/>
  </r>
  <r>
    <n v="2021"/>
    <x v="2"/>
    <x v="1"/>
    <x v="3"/>
    <s v="8"/>
    <n v="3"/>
    <n v="4904.79"/>
    <n v="0"/>
    <n v="4903.79"/>
    <n v="14711.369999999999"/>
    <x v="184"/>
    <x v="1"/>
    <x v="3"/>
    <n v="-1133.4000000000001"/>
    <x v="0"/>
    <x v="1"/>
    <n v="-7.7042450839044915E-2"/>
  </r>
  <r>
    <n v="3105"/>
    <x v="0"/>
    <x v="0"/>
    <x v="15"/>
    <s v="L"/>
    <n v="4"/>
    <n v="5940.3850000000002"/>
    <n v="0.56999999999999995"/>
    <n v="5939.9549999999999"/>
    <n v="23759.82"/>
    <x v="185"/>
    <x v="1"/>
    <x v="1"/>
    <n v="3176.71"/>
    <x v="1"/>
    <x v="0"/>
    <n v="0.13370092871073938"/>
  </r>
  <r>
    <n v="3114"/>
    <x v="0"/>
    <x v="4"/>
    <x v="9"/>
    <s v="L"/>
    <n v="1"/>
    <n v="7557.71"/>
    <n v="0"/>
    <n v="7556.71"/>
    <n v="7556.71"/>
    <x v="186"/>
    <x v="0"/>
    <x v="3"/>
    <n v="2752.18"/>
    <x v="0"/>
    <x v="1"/>
    <n v="0.36420346949929266"/>
  </r>
  <r>
    <n v="3116"/>
    <x v="1"/>
    <x v="2"/>
    <x v="4"/>
    <s v="M"/>
    <n v="3"/>
    <n v="7845.46"/>
    <n v="0.06"/>
    <n v="7844.52"/>
    <n v="23533.56"/>
    <x v="187"/>
    <x v="0"/>
    <x v="5"/>
    <n v="-236.15"/>
    <x v="0"/>
    <x v="0"/>
    <n v="-1.0034605898980009E-2"/>
  </r>
  <r>
    <n v="3125"/>
    <x v="1"/>
    <x v="0"/>
    <x v="15"/>
    <s v="XL"/>
    <n v="2"/>
    <n v="5940.3850000000002"/>
    <n v="0.7"/>
    <n v="5940.085"/>
    <n v="11880.17"/>
    <x v="81"/>
    <x v="1"/>
    <x v="3"/>
    <n v="1561.59"/>
    <x v="1"/>
    <x v="1"/>
    <n v="0.13144508874873001"/>
  </r>
  <r>
    <n v="3127"/>
    <x v="2"/>
    <x v="3"/>
    <x v="18"/>
    <s v="XL"/>
    <n v="1"/>
    <n v="7594.7199999999993"/>
    <n v="0.47"/>
    <n v="7594.19"/>
    <n v="7594.19"/>
    <x v="188"/>
    <x v="1"/>
    <x v="1"/>
    <n v="-440.44"/>
    <x v="3"/>
    <x v="0"/>
    <n v="-5.7996968735309497E-2"/>
  </r>
  <r>
    <n v="3143"/>
    <x v="2"/>
    <x v="3"/>
    <x v="7"/>
    <s v="7"/>
    <n v="3"/>
    <n v="5649.73"/>
    <n v="0.98"/>
    <n v="5649.7099999999991"/>
    <n v="16949.129999999997"/>
    <x v="189"/>
    <x v="1"/>
    <x v="2"/>
    <n v="635.39"/>
    <x v="1"/>
    <x v="0"/>
    <n v="3.748805985911962E-2"/>
  </r>
  <r>
    <n v="3146"/>
    <x v="0"/>
    <x v="0"/>
    <x v="17"/>
    <s v="XL"/>
    <n v="1"/>
    <n v="5178.83"/>
    <n v="0"/>
    <n v="5177.83"/>
    <n v="5177.83"/>
    <x v="190"/>
    <x v="0"/>
    <x v="0"/>
    <n v="1087.27"/>
    <x v="0"/>
    <x v="0"/>
    <n v="0.2099856503593204"/>
  </r>
  <r>
    <n v="3154"/>
    <x v="1"/>
    <x v="4"/>
    <x v="12"/>
    <s v="L"/>
    <n v="2"/>
    <n v="5620.64"/>
    <n v="0.95"/>
    <n v="5620.59"/>
    <n v="11241.18"/>
    <x v="191"/>
    <x v="1"/>
    <x v="4"/>
    <n v="-1100.45"/>
    <x v="1"/>
    <x v="1"/>
    <n v="-9.7894527087014002E-2"/>
  </r>
  <r>
    <n v="3162"/>
    <x v="2"/>
    <x v="0"/>
    <x v="0"/>
    <s v="XL"/>
    <n v="2"/>
    <n v="5234.1550000000007"/>
    <n v="0"/>
    <n v="5233.1550000000007"/>
    <n v="10466.310000000001"/>
    <x v="192"/>
    <x v="1"/>
    <x v="1"/>
    <n v="1686.78"/>
    <x v="0"/>
    <x v="0"/>
    <n v="0.161162816694709"/>
  </r>
  <r>
    <n v="3165"/>
    <x v="0"/>
    <x v="0"/>
    <x v="15"/>
    <s v="XL"/>
    <n v="2"/>
    <n v="5940.3850000000002"/>
    <n v="0.28999999999999998"/>
    <n v="5939.6750000000002"/>
    <n v="11879.35"/>
    <x v="193"/>
    <x v="1"/>
    <x v="5"/>
    <n v="3264.03"/>
    <x v="4"/>
    <x v="1"/>
    <n v="0.27476503344038183"/>
  </r>
  <r>
    <n v="3168"/>
    <x v="0"/>
    <x v="1"/>
    <x v="8"/>
    <s v="7"/>
    <n v="2"/>
    <n v="6010.71"/>
    <n v="0"/>
    <n v="6009.71"/>
    <n v="12019.42"/>
    <x v="194"/>
    <x v="0"/>
    <x v="4"/>
    <n v="61.83"/>
    <x v="0"/>
    <x v="1"/>
    <n v="5.1441750101086405E-3"/>
  </r>
  <r>
    <n v="3189"/>
    <x v="2"/>
    <x v="2"/>
    <x v="10"/>
    <s v="L"/>
    <n v="3"/>
    <n v="5355.64"/>
    <n v="0.33"/>
    <n v="5354.97"/>
    <n v="16064.91"/>
    <x v="195"/>
    <x v="1"/>
    <x v="5"/>
    <n v="1456.87"/>
    <x v="3"/>
    <x v="1"/>
    <n v="9.0686471321656942E-2"/>
  </r>
  <r>
    <n v="3191"/>
    <x v="1"/>
    <x v="0"/>
    <x v="14"/>
    <s v="L"/>
    <n v="4"/>
    <n v="6880.21"/>
    <n v="0"/>
    <n v="6879.21"/>
    <n v="27516.84"/>
    <x v="71"/>
    <x v="0"/>
    <x v="1"/>
    <n v="2709.18"/>
    <x v="0"/>
    <x v="1"/>
    <n v="9.8455345890007706E-2"/>
  </r>
  <r>
    <n v="3192"/>
    <x v="1"/>
    <x v="4"/>
    <x v="12"/>
    <s v="M"/>
    <n v="1"/>
    <n v="5620.64"/>
    <n v="0"/>
    <n v="5619.64"/>
    <n v="5619.64"/>
    <x v="196"/>
    <x v="1"/>
    <x v="1"/>
    <n v="2055.67"/>
    <x v="0"/>
    <x v="1"/>
    <n v="0.3658010121644803"/>
  </r>
  <r>
    <n v="3212"/>
    <x v="1"/>
    <x v="0"/>
    <x v="14"/>
    <s v="M"/>
    <n v="4"/>
    <n v="6880.21"/>
    <n v="0"/>
    <n v="6879.21"/>
    <n v="27516.84"/>
    <x v="156"/>
    <x v="0"/>
    <x v="5"/>
    <n v="2025.11"/>
    <x v="0"/>
    <x v="0"/>
    <n v="7.3595296552947206E-2"/>
  </r>
  <r>
    <n v="3217"/>
    <x v="2"/>
    <x v="0"/>
    <x v="0"/>
    <s v="6"/>
    <n v="1"/>
    <n v="5234.1550000000007"/>
    <n v="0.22"/>
    <n v="5233.3750000000009"/>
    <n v="5233.3750000000009"/>
    <x v="197"/>
    <x v="0"/>
    <x v="1"/>
    <n v="-514.9"/>
    <x v="4"/>
    <x v="1"/>
    <n v="-9.8387751689875055E-2"/>
  </r>
  <r>
    <n v="3233"/>
    <x v="2"/>
    <x v="0"/>
    <x v="15"/>
    <s v="M"/>
    <n v="1"/>
    <n v="5940.3850000000002"/>
    <n v="0"/>
    <n v="5939.3850000000002"/>
    <n v="5939.3850000000002"/>
    <x v="20"/>
    <x v="0"/>
    <x v="0"/>
    <n v="571.79999999999995"/>
    <x v="0"/>
    <x v="1"/>
    <n v="9.6272593879669355E-2"/>
  </r>
  <r>
    <n v="3237"/>
    <x v="1"/>
    <x v="2"/>
    <x v="10"/>
    <s v="L"/>
    <n v="3"/>
    <n v="5355.64"/>
    <n v="0"/>
    <n v="5354.64"/>
    <n v="16063.920000000002"/>
    <x v="198"/>
    <x v="0"/>
    <x v="2"/>
    <n v="2926.28"/>
    <x v="0"/>
    <x v="0"/>
    <n v="0.18216475181649311"/>
  </r>
  <r>
    <n v="3243"/>
    <x v="2"/>
    <x v="1"/>
    <x v="8"/>
    <s v="L"/>
    <n v="3"/>
    <n v="6010.71"/>
    <n v="0"/>
    <n v="6009.71"/>
    <n v="18029.13"/>
    <x v="175"/>
    <x v="0"/>
    <x v="1"/>
    <n v="1943.22"/>
    <x v="0"/>
    <x v="0"/>
    <n v="0.10778223907642798"/>
  </r>
  <r>
    <n v="3245"/>
    <x v="0"/>
    <x v="4"/>
    <x v="9"/>
    <s v="L"/>
    <n v="3"/>
    <n v="7557.71"/>
    <n v="0"/>
    <n v="7556.71"/>
    <n v="22670.13"/>
    <x v="122"/>
    <x v="0"/>
    <x v="1"/>
    <n v="3102.91"/>
    <x v="0"/>
    <x v="0"/>
    <n v="0.13687217497208881"/>
  </r>
  <r>
    <n v="3249"/>
    <x v="1"/>
    <x v="1"/>
    <x v="3"/>
    <s v="M"/>
    <n v="1"/>
    <n v="4904.79"/>
    <n v="0"/>
    <n v="4903.79"/>
    <n v="4903.79"/>
    <x v="199"/>
    <x v="1"/>
    <x v="3"/>
    <n v="731.1"/>
    <x v="0"/>
    <x v="1"/>
    <n v="0.14908876603606599"/>
  </r>
  <r>
    <n v="3252"/>
    <x v="2"/>
    <x v="2"/>
    <x v="4"/>
    <s v="10"/>
    <n v="1"/>
    <n v="7845.46"/>
    <n v="0"/>
    <n v="7844.46"/>
    <n v="7844.46"/>
    <x v="200"/>
    <x v="1"/>
    <x v="2"/>
    <n v="-563.83000000000004"/>
    <x v="0"/>
    <x v="0"/>
    <n v="-7.1876203078350839E-2"/>
  </r>
  <r>
    <n v="3260"/>
    <x v="2"/>
    <x v="0"/>
    <x v="14"/>
    <s v="7"/>
    <n v="1"/>
    <n v="6880.21"/>
    <n v="0"/>
    <n v="6879.21"/>
    <n v="6879.21"/>
    <x v="201"/>
    <x v="1"/>
    <x v="2"/>
    <n v="1287.17"/>
    <x v="0"/>
    <x v="1"/>
    <n v="0.18711014782220634"/>
  </r>
  <r>
    <n v="3263"/>
    <x v="0"/>
    <x v="4"/>
    <x v="9"/>
    <s v="L"/>
    <n v="4"/>
    <n v="7557.71"/>
    <n v="0"/>
    <n v="7556.71"/>
    <n v="30226.84"/>
    <x v="202"/>
    <x v="1"/>
    <x v="2"/>
    <n v="2278.12"/>
    <x v="0"/>
    <x v="1"/>
    <n v="7.5367454884466917E-2"/>
  </r>
  <r>
    <n v="3265"/>
    <x v="0"/>
    <x v="0"/>
    <x v="14"/>
    <s v="M"/>
    <n v="4"/>
    <n v="6880.21"/>
    <n v="0"/>
    <n v="6879.21"/>
    <n v="27516.84"/>
    <x v="203"/>
    <x v="0"/>
    <x v="3"/>
    <n v="2860.71"/>
    <x v="0"/>
    <x v="0"/>
    <n v="0.1039621555382086"/>
  </r>
  <r>
    <n v="3274"/>
    <x v="2"/>
    <x v="3"/>
    <x v="5"/>
    <s v="L"/>
    <n v="3"/>
    <n v="5873.83"/>
    <n v="0.15"/>
    <n v="5872.98"/>
    <n v="17618.939999999999"/>
    <x v="108"/>
    <x v="0"/>
    <x v="0"/>
    <n v="169.05"/>
    <x v="2"/>
    <x v="1"/>
    <n v="9.5947883357341609E-3"/>
  </r>
  <r>
    <n v="3275"/>
    <x v="0"/>
    <x v="0"/>
    <x v="17"/>
    <s v="L"/>
    <n v="4"/>
    <n v="5178.83"/>
    <n v="0"/>
    <n v="5177.83"/>
    <n v="20711.32"/>
    <x v="31"/>
    <x v="0"/>
    <x v="0"/>
    <n v="1652.12"/>
    <x v="0"/>
    <x v="1"/>
    <n v="7.9768937952771721E-2"/>
  </r>
  <r>
    <n v="3279"/>
    <x v="1"/>
    <x v="0"/>
    <x v="14"/>
    <s v="XL"/>
    <n v="4"/>
    <n v="6880.21"/>
    <n v="0.1"/>
    <n v="6879.31"/>
    <n v="27517.24"/>
    <x v="61"/>
    <x v="0"/>
    <x v="4"/>
    <n v="3098.28"/>
    <x v="0"/>
    <x v="0"/>
    <n v="0.11259414098216246"/>
  </r>
  <r>
    <n v="3282"/>
    <x v="1"/>
    <x v="2"/>
    <x v="2"/>
    <s v="XL"/>
    <n v="4"/>
    <n v="5981.92"/>
    <n v="0.23"/>
    <n v="5981.15"/>
    <n v="23924.6"/>
    <x v="122"/>
    <x v="0"/>
    <x v="4"/>
    <n v="-190.17"/>
    <x v="4"/>
    <x v="0"/>
    <n v="-7.9487222356904603E-3"/>
  </r>
  <r>
    <n v="3283"/>
    <x v="2"/>
    <x v="0"/>
    <x v="17"/>
    <s v="XL"/>
    <n v="2"/>
    <n v="5178.83"/>
    <n v="0"/>
    <n v="5177.83"/>
    <n v="10355.66"/>
    <x v="204"/>
    <x v="1"/>
    <x v="2"/>
    <n v="3871.51"/>
    <x v="0"/>
    <x v="0"/>
    <n v="0.37385449116714919"/>
  </r>
  <r>
    <n v="3285"/>
    <x v="2"/>
    <x v="3"/>
    <x v="11"/>
    <s v="XL"/>
    <n v="4"/>
    <n v="6186.9950000000008"/>
    <n v="0"/>
    <n v="6185.9950000000008"/>
    <n v="24743.980000000003"/>
    <x v="156"/>
    <x v="1"/>
    <x v="0"/>
    <n v="-401.38"/>
    <x v="0"/>
    <x v="0"/>
    <n v="-1.6221319286549695E-2"/>
  </r>
  <r>
    <n v="3288"/>
    <x v="1"/>
    <x v="1"/>
    <x v="6"/>
    <s v="10"/>
    <n v="4"/>
    <n v="6202.99"/>
    <n v="0"/>
    <n v="6201.99"/>
    <n v="24807.96"/>
    <x v="205"/>
    <x v="0"/>
    <x v="4"/>
    <n v="3852.98"/>
    <x v="0"/>
    <x v="0"/>
    <n v="0.15531224655312248"/>
  </r>
  <r>
    <n v="3300"/>
    <x v="0"/>
    <x v="2"/>
    <x v="2"/>
    <s v="L"/>
    <n v="2"/>
    <n v="5981.92"/>
    <n v="0"/>
    <n v="5980.92"/>
    <n v="11961.84"/>
    <x v="206"/>
    <x v="0"/>
    <x v="3"/>
    <n v="3436.23"/>
    <x v="0"/>
    <x v="0"/>
    <n v="0.28726600589875806"/>
  </r>
  <r>
    <n v="3303"/>
    <x v="1"/>
    <x v="0"/>
    <x v="0"/>
    <s v="9"/>
    <n v="2"/>
    <n v="5234.1550000000007"/>
    <n v="0"/>
    <n v="5233.1550000000007"/>
    <n v="10466.310000000001"/>
    <x v="207"/>
    <x v="1"/>
    <x v="5"/>
    <n v="2846.02"/>
    <x v="0"/>
    <x v="0"/>
    <n v="0.27192200498552016"/>
  </r>
  <r>
    <n v="3310"/>
    <x v="0"/>
    <x v="4"/>
    <x v="12"/>
    <s v="M"/>
    <n v="4"/>
    <n v="5620.64"/>
    <n v="0.21"/>
    <n v="5619.85"/>
    <n v="22479.4"/>
    <x v="208"/>
    <x v="0"/>
    <x v="5"/>
    <n v="2856.16"/>
    <x v="4"/>
    <x v="1"/>
    <n v="0.12705677197789975"/>
  </r>
  <r>
    <n v="3312"/>
    <x v="0"/>
    <x v="2"/>
    <x v="4"/>
    <s v="M"/>
    <n v="1"/>
    <n v="7845.46"/>
    <n v="0"/>
    <n v="7844.46"/>
    <n v="7844.46"/>
    <x v="88"/>
    <x v="0"/>
    <x v="1"/>
    <n v="-95.96"/>
    <x v="0"/>
    <x v="1"/>
    <n v="-1.2232836932051409E-2"/>
  </r>
  <r>
    <n v="3327"/>
    <x v="2"/>
    <x v="3"/>
    <x v="7"/>
    <s v="12"/>
    <n v="3"/>
    <n v="5649.73"/>
    <n v="0"/>
    <n v="5648.73"/>
    <n v="16946.189999999999"/>
    <x v="81"/>
    <x v="1"/>
    <x v="3"/>
    <n v="-1155.6099999999999"/>
    <x v="0"/>
    <x v="1"/>
    <n v="-6.8192909438640772E-2"/>
  </r>
  <r>
    <n v="3334"/>
    <x v="1"/>
    <x v="0"/>
    <x v="0"/>
    <s v="L"/>
    <n v="3"/>
    <n v="5234.1550000000007"/>
    <n v="0"/>
    <n v="5233.1550000000007"/>
    <n v="15699.465000000002"/>
    <x v="209"/>
    <x v="1"/>
    <x v="2"/>
    <n v="1190.8900000000001"/>
    <x v="0"/>
    <x v="2"/>
    <n v="7.5855451125245346E-2"/>
  </r>
  <r>
    <n v="3337"/>
    <x v="2"/>
    <x v="3"/>
    <x v="18"/>
    <s v="L"/>
    <n v="4"/>
    <n v="7594.7199999999993"/>
    <n v="0"/>
    <n v="7593.7199999999993"/>
    <n v="30374.879999999997"/>
    <x v="210"/>
    <x v="1"/>
    <x v="4"/>
    <n v="2915.13"/>
    <x v="0"/>
    <x v="0"/>
    <n v="9.5971737172295013E-2"/>
  </r>
  <r>
    <n v="3340"/>
    <x v="1"/>
    <x v="0"/>
    <x v="17"/>
    <s v="M"/>
    <n v="3"/>
    <n v="5178.83"/>
    <n v="0"/>
    <n v="5177.83"/>
    <n v="15533.49"/>
    <x v="190"/>
    <x v="0"/>
    <x v="2"/>
    <n v="2551.4699999999998"/>
    <x v="0"/>
    <x v="0"/>
    <n v="0.16425606866196843"/>
  </r>
  <r>
    <n v="3341"/>
    <x v="1"/>
    <x v="3"/>
    <x v="11"/>
    <s v="8"/>
    <n v="3"/>
    <n v="6186.9950000000008"/>
    <n v="0"/>
    <n v="6185.9950000000008"/>
    <n v="18557.985000000001"/>
    <x v="211"/>
    <x v="1"/>
    <x v="3"/>
    <n v="1693.41"/>
    <x v="0"/>
    <x v="0"/>
    <n v="9.1249669616609783E-2"/>
  </r>
  <r>
    <n v="3343"/>
    <x v="1"/>
    <x v="2"/>
    <x v="2"/>
    <s v="L"/>
    <n v="3"/>
    <n v="5981.92"/>
    <n v="0"/>
    <n v="5980.92"/>
    <n v="17942.760000000002"/>
    <x v="70"/>
    <x v="0"/>
    <x v="0"/>
    <n v="1688.78"/>
    <x v="0"/>
    <x v="0"/>
    <n v="9.4120414027719243E-2"/>
  </r>
  <r>
    <n v="3356"/>
    <x v="0"/>
    <x v="0"/>
    <x v="0"/>
    <s v="M"/>
    <n v="4"/>
    <n v="5234.1550000000007"/>
    <n v="0"/>
    <n v="5233.1550000000007"/>
    <n v="20932.620000000003"/>
    <x v="212"/>
    <x v="1"/>
    <x v="2"/>
    <n v="724.11"/>
    <x v="0"/>
    <x v="1"/>
    <n v="3.4592420824531275E-2"/>
  </r>
  <r>
    <n v="3357"/>
    <x v="1"/>
    <x v="3"/>
    <x v="7"/>
    <s v="M"/>
    <n v="4"/>
    <n v="5649.73"/>
    <n v="0.5"/>
    <n v="5649.23"/>
    <n v="22596.92"/>
    <x v="213"/>
    <x v="1"/>
    <x v="4"/>
    <n v="678.42"/>
    <x v="3"/>
    <x v="1"/>
    <n v="3.0022675656682415E-2"/>
  </r>
  <r>
    <n v="3360"/>
    <x v="0"/>
    <x v="3"/>
    <x v="11"/>
    <s v="M"/>
    <n v="4"/>
    <n v="6186.9950000000008"/>
    <n v="0.06"/>
    <n v="6186.0550000000012"/>
    <n v="24744.220000000005"/>
    <x v="86"/>
    <x v="1"/>
    <x v="3"/>
    <n v="304.12"/>
    <x v="0"/>
    <x v="0"/>
    <n v="1.2290547044926044E-2"/>
  </r>
  <r>
    <n v="3371"/>
    <x v="2"/>
    <x v="3"/>
    <x v="7"/>
    <s v="XL"/>
    <n v="1"/>
    <n v="5649.73"/>
    <n v="0"/>
    <n v="5648.73"/>
    <n v="5648.73"/>
    <x v="20"/>
    <x v="0"/>
    <x v="4"/>
    <n v="2255.4299999999998"/>
    <x v="0"/>
    <x v="1"/>
    <n v="0.39928090030856495"/>
  </r>
  <r>
    <n v="3374"/>
    <x v="2"/>
    <x v="3"/>
    <x v="7"/>
    <s v="M"/>
    <n v="4"/>
    <n v="5649.73"/>
    <n v="0"/>
    <n v="5648.73"/>
    <n v="22594.92"/>
    <x v="40"/>
    <x v="1"/>
    <x v="1"/>
    <n v="1905.25"/>
    <x v="0"/>
    <x v="0"/>
    <n v="8.4322051151320743E-2"/>
  </r>
  <r>
    <n v="3382"/>
    <x v="2"/>
    <x v="2"/>
    <x v="10"/>
    <s v="XL"/>
    <n v="2"/>
    <n v="5355.64"/>
    <n v="0"/>
    <n v="5354.64"/>
    <n v="10709.28"/>
    <x v="170"/>
    <x v="0"/>
    <x v="0"/>
    <n v="1710.15"/>
    <x v="0"/>
    <x v="1"/>
    <n v="0.15968860651696473"/>
  </r>
  <r>
    <n v="3389"/>
    <x v="0"/>
    <x v="4"/>
    <x v="16"/>
    <s v="M"/>
    <n v="3"/>
    <n v="5282.31"/>
    <n v="0"/>
    <n v="5281.31"/>
    <n v="15843.93"/>
    <x v="58"/>
    <x v="1"/>
    <x v="2"/>
    <n v="3491.49"/>
    <x v="0"/>
    <x v="1"/>
    <n v="0.22036767392938492"/>
  </r>
  <r>
    <n v="3391"/>
    <x v="0"/>
    <x v="0"/>
    <x v="14"/>
    <s v="M"/>
    <n v="2"/>
    <n v="6880.21"/>
    <n v="0"/>
    <n v="6879.21"/>
    <n v="13758.42"/>
    <x v="209"/>
    <x v="0"/>
    <x v="0"/>
    <n v="1628.31"/>
    <x v="0"/>
    <x v="2"/>
    <n v="0.11835007217398509"/>
  </r>
  <r>
    <n v="3394"/>
    <x v="1"/>
    <x v="1"/>
    <x v="6"/>
    <s v="XL"/>
    <n v="1"/>
    <n v="6202.99"/>
    <n v="0"/>
    <n v="6201.99"/>
    <n v="6201.99"/>
    <x v="9"/>
    <x v="1"/>
    <x v="0"/>
    <n v="2396.11"/>
    <x v="0"/>
    <x v="0"/>
    <n v="0.38634535044397045"/>
  </r>
  <r>
    <n v="3395"/>
    <x v="0"/>
    <x v="4"/>
    <x v="12"/>
    <s v="L"/>
    <n v="3"/>
    <n v="5620.64"/>
    <n v="0"/>
    <n v="5619.64"/>
    <n v="16858.920000000002"/>
    <x v="214"/>
    <x v="1"/>
    <x v="2"/>
    <n v="3069.77"/>
    <x v="0"/>
    <x v="1"/>
    <n v="0.18208580383559561"/>
  </r>
  <r>
    <n v="3398"/>
    <x v="2"/>
    <x v="2"/>
    <x v="10"/>
    <s v="XL"/>
    <n v="2"/>
    <n v="5355.64"/>
    <n v="0"/>
    <n v="5354.64"/>
    <n v="10709.28"/>
    <x v="215"/>
    <x v="0"/>
    <x v="5"/>
    <n v="415.57"/>
    <x v="0"/>
    <x v="2"/>
    <n v="3.8804662871827045E-2"/>
  </r>
  <r>
    <n v="3409"/>
    <x v="1"/>
    <x v="4"/>
    <x v="16"/>
    <s v="M"/>
    <n v="1"/>
    <n v="5282.31"/>
    <n v="0.3"/>
    <n v="5281.6100000000006"/>
    <n v="5281.6100000000006"/>
    <x v="216"/>
    <x v="0"/>
    <x v="4"/>
    <n v="-1106.07"/>
    <x v="4"/>
    <x v="0"/>
    <n v="-0.20941909758577401"/>
  </r>
  <r>
    <n v="3413"/>
    <x v="1"/>
    <x v="0"/>
    <x v="15"/>
    <s v="XL"/>
    <n v="2"/>
    <n v="5940.3850000000002"/>
    <n v="0"/>
    <n v="5939.3850000000002"/>
    <n v="11878.77"/>
    <x v="217"/>
    <x v="1"/>
    <x v="0"/>
    <n v="2752.65"/>
    <x v="0"/>
    <x v="2"/>
    <n v="0.23172853755060499"/>
  </r>
  <r>
    <n v="3414"/>
    <x v="2"/>
    <x v="1"/>
    <x v="6"/>
    <s v="7"/>
    <n v="4"/>
    <n v="6202.99"/>
    <n v="0"/>
    <n v="6201.99"/>
    <n v="24807.96"/>
    <x v="218"/>
    <x v="1"/>
    <x v="2"/>
    <n v="520.63"/>
    <x v="0"/>
    <x v="1"/>
    <n v="2.098640920091777E-2"/>
  </r>
  <r>
    <n v="3423"/>
    <x v="1"/>
    <x v="2"/>
    <x v="19"/>
    <s v="L"/>
    <n v="2"/>
    <n v="5117.8649999999998"/>
    <n v="0"/>
    <n v="5116.8649999999998"/>
    <n v="10233.73"/>
    <x v="219"/>
    <x v="0"/>
    <x v="2"/>
    <n v="106"/>
    <x v="0"/>
    <x v="0"/>
    <n v="1.0357904693596568E-2"/>
  </r>
  <r>
    <n v="3428"/>
    <x v="0"/>
    <x v="2"/>
    <x v="2"/>
    <s v="6"/>
    <n v="1"/>
    <n v="5981.92"/>
    <n v="0.23"/>
    <n v="5981.15"/>
    <n v="5981.15"/>
    <x v="220"/>
    <x v="1"/>
    <x v="3"/>
    <n v="625.29999999999995"/>
    <x v="4"/>
    <x v="0"/>
    <n v="0.10454511256196551"/>
  </r>
  <r>
    <n v="3438"/>
    <x v="0"/>
    <x v="0"/>
    <x v="15"/>
    <s v="7"/>
    <n v="3"/>
    <n v="5940.3850000000002"/>
    <n v="0.18"/>
    <n v="5939.5650000000005"/>
    <n v="17818.695"/>
    <x v="221"/>
    <x v="0"/>
    <x v="0"/>
    <n v="1669.74"/>
    <x v="2"/>
    <x v="0"/>
    <n v="9.3707199096230112E-2"/>
  </r>
  <r>
    <n v="3441"/>
    <x v="1"/>
    <x v="4"/>
    <x v="12"/>
    <s v="12"/>
    <n v="2"/>
    <n v="5620.64"/>
    <n v="0"/>
    <n v="5619.64"/>
    <n v="11239.28"/>
    <x v="222"/>
    <x v="0"/>
    <x v="4"/>
    <n v="3301.27"/>
    <x v="0"/>
    <x v="1"/>
    <n v="0.29372611056936032"/>
  </r>
  <r>
    <n v="3442"/>
    <x v="1"/>
    <x v="2"/>
    <x v="4"/>
    <s v="XL"/>
    <n v="4"/>
    <n v="7845.46"/>
    <n v="0"/>
    <n v="7844.46"/>
    <n v="31377.84"/>
    <x v="218"/>
    <x v="1"/>
    <x v="2"/>
    <n v="3129.5"/>
    <x v="0"/>
    <x v="1"/>
    <n v="9.9735992024944986E-2"/>
  </r>
  <r>
    <n v="3450"/>
    <x v="2"/>
    <x v="4"/>
    <x v="9"/>
    <s v="M"/>
    <n v="3"/>
    <n v="7557.71"/>
    <n v="0"/>
    <n v="7556.71"/>
    <n v="22670.13"/>
    <x v="44"/>
    <x v="0"/>
    <x v="3"/>
    <n v="904.82"/>
    <x v="0"/>
    <x v="0"/>
    <n v="3.9912431027082772E-2"/>
  </r>
  <r>
    <n v="3463"/>
    <x v="0"/>
    <x v="0"/>
    <x v="15"/>
    <s v="12"/>
    <n v="1"/>
    <n v="5940.3850000000002"/>
    <n v="0"/>
    <n v="5939.3850000000002"/>
    <n v="5939.3850000000002"/>
    <x v="69"/>
    <x v="0"/>
    <x v="1"/>
    <n v="1853.7"/>
    <x v="0"/>
    <x v="1"/>
    <n v="0.31210302076730168"/>
  </r>
  <r>
    <n v="3467"/>
    <x v="2"/>
    <x v="1"/>
    <x v="8"/>
    <s v="M"/>
    <n v="2"/>
    <n v="6010.71"/>
    <n v="0"/>
    <n v="6009.71"/>
    <n v="12019.42"/>
    <x v="212"/>
    <x v="1"/>
    <x v="3"/>
    <n v="1472.83"/>
    <x v="0"/>
    <x v="1"/>
    <n v="0.12253752676917853"/>
  </r>
  <r>
    <n v="3469"/>
    <x v="1"/>
    <x v="4"/>
    <x v="16"/>
    <s v="10"/>
    <n v="1"/>
    <n v="5282.31"/>
    <n v="0"/>
    <n v="5281.31"/>
    <n v="5281.31"/>
    <x v="145"/>
    <x v="1"/>
    <x v="2"/>
    <n v="3792.66"/>
    <x v="0"/>
    <x v="0"/>
    <n v="0.71812864611242277"/>
  </r>
  <r>
    <n v="3473"/>
    <x v="1"/>
    <x v="0"/>
    <x v="17"/>
    <s v="M"/>
    <n v="4"/>
    <n v="5178.83"/>
    <n v="0"/>
    <n v="5177.83"/>
    <n v="20711.32"/>
    <x v="223"/>
    <x v="1"/>
    <x v="4"/>
    <n v="63.47"/>
    <x v="0"/>
    <x v="0"/>
    <n v="3.0645077184843846E-3"/>
  </r>
  <r>
    <n v="3475"/>
    <x v="1"/>
    <x v="0"/>
    <x v="0"/>
    <s v="L"/>
    <n v="1"/>
    <n v="5234.1550000000007"/>
    <n v="0"/>
    <n v="5233.1550000000007"/>
    <n v="5233.1550000000007"/>
    <x v="67"/>
    <x v="1"/>
    <x v="2"/>
    <n v="2996.47"/>
    <x v="0"/>
    <x v="0"/>
    <n v="0.57259339729092673"/>
  </r>
  <r>
    <n v="3477"/>
    <x v="2"/>
    <x v="2"/>
    <x v="2"/>
    <s v="M"/>
    <n v="2"/>
    <n v="5981.92"/>
    <n v="0"/>
    <n v="5980.92"/>
    <n v="11961.84"/>
    <x v="224"/>
    <x v="1"/>
    <x v="4"/>
    <n v="1691.28"/>
    <x v="0"/>
    <x v="1"/>
    <n v="0.14138961898838306"/>
  </r>
  <r>
    <n v="3479"/>
    <x v="0"/>
    <x v="3"/>
    <x v="18"/>
    <s v="XL"/>
    <n v="4"/>
    <n v="7594.7199999999993"/>
    <n v="0"/>
    <n v="7593.7199999999993"/>
    <n v="30374.879999999997"/>
    <x v="158"/>
    <x v="0"/>
    <x v="2"/>
    <n v="1909.78"/>
    <x v="0"/>
    <x v="0"/>
    <n v="6.2873664027643897E-2"/>
  </r>
  <r>
    <n v="3481"/>
    <x v="0"/>
    <x v="1"/>
    <x v="8"/>
    <s v="XL"/>
    <n v="4"/>
    <n v="6010.71"/>
    <n v="0"/>
    <n v="6009.71"/>
    <n v="24038.84"/>
    <x v="225"/>
    <x v="1"/>
    <x v="3"/>
    <n v="2564.61"/>
    <x v="0"/>
    <x v="2"/>
    <n v="0.10668609633409933"/>
  </r>
  <r>
    <n v="3483"/>
    <x v="2"/>
    <x v="1"/>
    <x v="8"/>
    <s v="L"/>
    <n v="4"/>
    <n v="6010.71"/>
    <n v="0"/>
    <n v="6009.71"/>
    <n v="24038.84"/>
    <x v="226"/>
    <x v="1"/>
    <x v="5"/>
    <n v="738.19"/>
    <x v="0"/>
    <x v="0"/>
    <n v="3.0708220529775981E-2"/>
  </r>
  <r>
    <n v="3486"/>
    <x v="1"/>
    <x v="3"/>
    <x v="5"/>
    <s v="L"/>
    <n v="4"/>
    <n v="5873.83"/>
    <n v="0"/>
    <n v="5872.83"/>
    <n v="23491.32"/>
    <x v="227"/>
    <x v="0"/>
    <x v="4"/>
    <n v="1451.77"/>
    <x v="0"/>
    <x v="0"/>
    <n v="6.1800273462708777E-2"/>
  </r>
  <r>
    <n v="3488"/>
    <x v="0"/>
    <x v="0"/>
    <x v="0"/>
    <s v="XL"/>
    <n v="4"/>
    <n v="5234.1550000000007"/>
    <n v="0"/>
    <n v="5233.1550000000007"/>
    <n v="20932.620000000003"/>
    <x v="228"/>
    <x v="1"/>
    <x v="5"/>
    <n v="86.25"/>
    <x v="0"/>
    <x v="1"/>
    <n v="4.1203633372220005E-3"/>
  </r>
  <r>
    <n v="3489"/>
    <x v="1"/>
    <x v="4"/>
    <x v="9"/>
    <s v="8"/>
    <n v="2"/>
    <n v="7557.71"/>
    <n v="0"/>
    <n v="7556.71"/>
    <n v="15113.42"/>
    <x v="58"/>
    <x v="1"/>
    <x v="2"/>
    <n v="1734.72"/>
    <x v="0"/>
    <x v="1"/>
    <n v="0.11478010933329452"/>
  </r>
  <r>
    <n v="3496"/>
    <x v="2"/>
    <x v="4"/>
    <x v="16"/>
    <s v="M"/>
    <n v="3"/>
    <n v="5282.31"/>
    <n v="0.77"/>
    <n v="5282.0800000000008"/>
    <n v="15846.240000000002"/>
    <x v="13"/>
    <x v="0"/>
    <x v="4"/>
    <n v="-786.91"/>
    <x v="1"/>
    <x v="0"/>
    <n v="-4.9659098940821288E-2"/>
  </r>
  <r>
    <n v="3497"/>
    <x v="0"/>
    <x v="2"/>
    <x v="4"/>
    <s v="L"/>
    <n v="2"/>
    <n v="7845.46"/>
    <n v="0"/>
    <n v="7844.46"/>
    <n v="15688.92"/>
    <x v="229"/>
    <x v="1"/>
    <x v="2"/>
    <n v="1878.22"/>
    <x v="0"/>
    <x v="0"/>
    <n v="0.11971633484012921"/>
  </r>
  <r>
    <n v="3512"/>
    <x v="1"/>
    <x v="2"/>
    <x v="4"/>
    <s v="M"/>
    <n v="4"/>
    <n v="7845.46"/>
    <n v="0.96"/>
    <n v="7845.42"/>
    <n v="31381.68"/>
    <x v="62"/>
    <x v="0"/>
    <x v="1"/>
    <n v="2516.79"/>
    <x v="1"/>
    <x v="1"/>
    <n v="8.0199339232316438E-2"/>
  </r>
  <r>
    <n v="3529"/>
    <x v="2"/>
    <x v="3"/>
    <x v="5"/>
    <s v="L"/>
    <n v="1"/>
    <n v="5873.83"/>
    <n v="0.2"/>
    <n v="5873.03"/>
    <n v="5873.03"/>
    <x v="138"/>
    <x v="0"/>
    <x v="4"/>
    <n v="1448.77"/>
    <x v="2"/>
    <x v="1"/>
    <n v="0.24668186608956535"/>
  </r>
  <r>
    <n v="3545"/>
    <x v="2"/>
    <x v="3"/>
    <x v="7"/>
    <s v="12"/>
    <n v="3"/>
    <n v="5649.73"/>
    <n v="0"/>
    <n v="5648.73"/>
    <n v="16946.189999999999"/>
    <x v="173"/>
    <x v="1"/>
    <x v="4"/>
    <n v="2239.86"/>
    <x v="0"/>
    <x v="2"/>
    <n v="0.13217484284078015"/>
  </r>
  <r>
    <n v="3552"/>
    <x v="2"/>
    <x v="4"/>
    <x v="9"/>
    <s v="XL"/>
    <n v="4"/>
    <n v="7557.71"/>
    <n v="0"/>
    <n v="7556.71"/>
    <n v="30226.84"/>
    <x v="161"/>
    <x v="0"/>
    <x v="2"/>
    <n v="762.95"/>
    <x v="0"/>
    <x v="1"/>
    <n v="2.5240812469977014E-2"/>
  </r>
  <r>
    <n v="3553"/>
    <x v="0"/>
    <x v="4"/>
    <x v="16"/>
    <s v="XL"/>
    <n v="2"/>
    <n v="5282.31"/>
    <n v="0"/>
    <n v="5281.31"/>
    <n v="10562.62"/>
    <x v="230"/>
    <x v="1"/>
    <x v="1"/>
    <n v="-720.87"/>
    <x v="0"/>
    <x v="1"/>
    <n v="-6.8247271983655572E-2"/>
  </r>
  <r>
    <n v="3555"/>
    <x v="1"/>
    <x v="0"/>
    <x v="15"/>
    <s v="9"/>
    <n v="2"/>
    <n v="5940.3850000000002"/>
    <n v="0"/>
    <n v="5939.3850000000002"/>
    <n v="11878.77"/>
    <x v="20"/>
    <x v="0"/>
    <x v="0"/>
    <n v="-1069.25"/>
    <x v="0"/>
    <x v="1"/>
    <n v="-9.0013528336688048E-2"/>
  </r>
  <r>
    <n v="3556"/>
    <x v="0"/>
    <x v="2"/>
    <x v="19"/>
    <s v="M"/>
    <n v="4"/>
    <n v="5117.8649999999998"/>
    <n v="0"/>
    <n v="5116.8649999999998"/>
    <n v="20467.46"/>
    <x v="212"/>
    <x v="0"/>
    <x v="5"/>
    <n v="-843.61"/>
    <x v="0"/>
    <x v="1"/>
    <n v="-4.1217131974363212E-2"/>
  </r>
  <r>
    <n v="3557"/>
    <x v="1"/>
    <x v="2"/>
    <x v="2"/>
    <s v="L"/>
    <n v="1"/>
    <n v="5981.92"/>
    <n v="0.66"/>
    <n v="5981.58"/>
    <n v="5981.58"/>
    <x v="231"/>
    <x v="0"/>
    <x v="0"/>
    <n v="-884.81"/>
    <x v="1"/>
    <x v="0"/>
    <n v="-0.14792245527101533"/>
  </r>
  <r>
    <n v="3558"/>
    <x v="0"/>
    <x v="3"/>
    <x v="7"/>
    <s v="L"/>
    <n v="4"/>
    <n v="5649.73"/>
    <n v="0"/>
    <n v="5648.73"/>
    <n v="22594.92"/>
    <x v="25"/>
    <x v="1"/>
    <x v="2"/>
    <n v="-113.44"/>
    <x v="0"/>
    <x v="0"/>
    <n v="-5.020597550245808E-3"/>
  </r>
  <r>
    <n v="3576"/>
    <x v="0"/>
    <x v="1"/>
    <x v="1"/>
    <s v="M"/>
    <n v="2"/>
    <n v="6216.29"/>
    <n v="0"/>
    <n v="6215.29"/>
    <n v="12430.58"/>
    <x v="232"/>
    <x v="0"/>
    <x v="3"/>
    <n v="-586.23"/>
    <x v="0"/>
    <x v="0"/>
    <n v="-4.7160309494810378E-2"/>
  </r>
  <r>
    <n v="3581"/>
    <x v="0"/>
    <x v="0"/>
    <x v="15"/>
    <s v="L"/>
    <n v="4"/>
    <n v="5940.3850000000002"/>
    <n v="0"/>
    <n v="5939.3850000000002"/>
    <n v="23757.54"/>
    <x v="233"/>
    <x v="0"/>
    <x v="5"/>
    <n v="2178.0500000000002"/>
    <x v="0"/>
    <x v="0"/>
    <n v="9.1678262985140715E-2"/>
  </r>
  <r>
    <n v="3596"/>
    <x v="2"/>
    <x v="3"/>
    <x v="11"/>
    <s v="8"/>
    <n v="2"/>
    <n v="6186.9950000000008"/>
    <n v="0"/>
    <n v="6185.9950000000008"/>
    <n v="12371.990000000002"/>
    <x v="104"/>
    <x v="1"/>
    <x v="1"/>
    <n v="-66.97"/>
    <x v="0"/>
    <x v="1"/>
    <n v="-5.4130337965032291E-3"/>
  </r>
  <r>
    <n v="3605"/>
    <x v="2"/>
    <x v="0"/>
    <x v="15"/>
    <s v="M"/>
    <n v="2"/>
    <n v="5940.3850000000002"/>
    <n v="0"/>
    <n v="5939.3850000000002"/>
    <n v="11878.77"/>
    <x v="154"/>
    <x v="1"/>
    <x v="0"/>
    <n v="1627.87"/>
    <x v="0"/>
    <x v="1"/>
    <n v="0.13704028279022154"/>
  </r>
  <r>
    <n v="3606"/>
    <x v="0"/>
    <x v="2"/>
    <x v="10"/>
    <s v="XL"/>
    <n v="3"/>
    <n v="5355.64"/>
    <n v="0"/>
    <n v="5354.64"/>
    <n v="16063.920000000002"/>
    <x v="234"/>
    <x v="0"/>
    <x v="1"/>
    <n v="-511.49"/>
    <x v="0"/>
    <x v="1"/>
    <n v="-3.1840920522512556E-2"/>
  </r>
  <r>
    <n v="3610"/>
    <x v="1"/>
    <x v="1"/>
    <x v="6"/>
    <s v="11"/>
    <n v="2"/>
    <n v="6202.99"/>
    <n v="0.64"/>
    <n v="6202.63"/>
    <n v="12405.26"/>
    <x v="235"/>
    <x v="1"/>
    <x v="5"/>
    <n v="-336.38"/>
    <x v="1"/>
    <x v="1"/>
    <n v="-2.7115916957806609E-2"/>
  </r>
  <r>
    <n v="3612"/>
    <x v="0"/>
    <x v="4"/>
    <x v="16"/>
    <s v="XL"/>
    <n v="1"/>
    <n v="5282.31"/>
    <n v="0"/>
    <n v="5281.31"/>
    <n v="5281.31"/>
    <x v="184"/>
    <x v="1"/>
    <x v="2"/>
    <n v="2397.42"/>
    <x v="0"/>
    <x v="1"/>
    <n v="0.45394419187663665"/>
  </r>
  <r>
    <n v="3613"/>
    <x v="2"/>
    <x v="1"/>
    <x v="3"/>
    <s v="XL"/>
    <n v="4"/>
    <n v="4904.79"/>
    <n v="0"/>
    <n v="4903.79"/>
    <n v="19615.16"/>
    <x v="198"/>
    <x v="1"/>
    <x v="0"/>
    <n v="2136.73"/>
    <x v="0"/>
    <x v="0"/>
    <n v="0.10893258071817921"/>
  </r>
  <r>
    <n v="3616"/>
    <x v="1"/>
    <x v="1"/>
    <x v="3"/>
    <s v="L"/>
    <n v="1"/>
    <n v="4904.79"/>
    <n v="0"/>
    <n v="4903.79"/>
    <n v="4903.79"/>
    <x v="236"/>
    <x v="0"/>
    <x v="5"/>
    <n v="3969.15"/>
    <x v="0"/>
    <x v="1"/>
    <n v="0.80940456259342264"/>
  </r>
  <r>
    <n v="3617"/>
    <x v="2"/>
    <x v="0"/>
    <x v="17"/>
    <s v="9"/>
    <n v="2"/>
    <n v="5178.83"/>
    <n v="0"/>
    <n v="5177.83"/>
    <n v="10355.66"/>
    <x v="237"/>
    <x v="1"/>
    <x v="2"/>
    <n v="2406.4699999999998"/>
    <x v="0"/>
    <x v="0"/>
    <n v="0.23238209829214168"/>
  </r>
  <r>
    <n v="3618"/>
    <x v="2"/>
    <x v="0"/>
    <x v="14"/>
    <s v="9"/>
    <n v="3"/>
    <n v="6880.21"/>
    <n v="0"/>
    <n v="6879.21"/>
    <n v="20637.63"/>
    <x v="132"/>
    <x v="0"/>
    <x v="5"/>
    <n v="932.04"/>
    <x v="0"/>
    <x v="1"/>
    <n v="4.5162162515753987E-2"/>
  </r>
  <r>
    <n v="3622"/>
    <x v="0"/>
    <x v="0"/>
    <x v="17"/>
    <s v="8"/>
    <n v="3"/>
    <n v="5178.83"/>
    <n v="0"/>
    <n v="5177.83"/>
    <n v="15533.49"/>
    <x v="203"/>
    <x v="1"/>
    <x v="0"/>
    <n v="1951.56"/>
    <x v="0"/>
    <x v="0"/>
    <n v="0.12563564273064198"/>
  </r>
  <r>
    <n v="3635"/>
    <x v="2"/>
    <x v="3"/>
    <x v="5"/>
    <s v="M"/>
    <n v="2"/>
    <n v="5873.83"/>
    <n v="0"/>
    <n v="5872.83"/>
    <n v="11745.66"/>
    <x v="92"/>
    <x v="0"/>
    <x v="3"/>
    <n v="3656.45"/>
    <x v="0"/>
    <x v="1"/>
    <n v="0.3113022171593593"/>
  </r>
  <r>
    <n v="3636"/>
    <x v="0"/>
    <x v="0"/>
    <x v="0"/>
    <s v="M"/>
    <n v="2"/>
    <n v="5234.1550000000007"/>
    <n v="0"/>
    <n v="5233.1550000000007"/>
    <n v="10466.310000000001"/>
    <x v="238"/>
    <x v="0"/>
    <x v="4"/>
    <n v="2615.73"/>
    <x v="0"/>
    <x v="2"/>
    <n v="0.24991902590311196"/>
  </r>
  <r>
    <n v="3637"/>
    <x v="0"/>
    <x v="4"/>
    <x v="13"/>
    <s v="6"/>
    <n v="2"/>
    <n v="6577.39"/>
    <n v="0"/>
    <n v="6576.39"/>
    <n v="13152.78"/>
    <x v="239"/>
    <x v="0"/>
    <x v="4"/>
    <n v="1945.9"/>
    <x v="0"/>
    <x v="1"/>
    <n v="0.14794590953395403"/>
  </r>
  <r>
    <n v="3646"/>
    <x v="2"/>
    <x v="3"/>
    <x v="7"/>
    <s v="XL"/>
    <n v="3"/>
    <n v="5649.73"/>
    <n v="0"/>
    <n v="5648.73"/>
    <n v="16946.189999999999"/>
    <x v="191"/>
    <x v="1"/>
    <x v="3"/>
    <n v="2873.66"/>
    <x v="0"/>
    <x v="1"/>
    <n v="0.16957558011564841"/>
  </r>
  <r>
    <n v="3654"/>
    <x v="0"/>
    <x v="3"/>
    <x v="11"/>
    <s v="L"/>
    <n v="3"/>
    <n v="6186.9950000000008"/>
    <n v="0"/>
    <n v="6185.9950000000008"/>
    <n v="18557.985000000001"/>
    <x v="240"/>
    <x v="0"/>
    <x v="1"/>
    <n v="2395.7399999999998"/>
    <x v="0"/>
    <x v="0"/>
    <n v="0.12909483437991784"/>
  </r>
  <r>
    <n v="3656"/>
    <x v="2"/>
    <x v="1"/>
    <x v="1"/>
    <s v="L"/>
    <n v="4"/>
    <n v="6216.29"/>
    <n v="0"/>
    <n v="6215.29"/>
    <n v="24861.16"/>
    <x v="241"/>
    <x v="0"/>
    <x v="1"/>
    <n v="3421.81"/>
    <x v="0"/>
    <x v="1"/>
    <n v="0.13763677961929371"/>
  </r>
  <r>
    <n v="3668"/>
    <x v="1"/>
    <x v="0"/>
    <x v="17"/>
    <s v="XL"/>
    <n v="1"/>
    <n v="5178.83"/>
    <n v="0"/>
    <n v="5177.83"/>
    <n v="5177.83"/>
    <x v="127"/>
    <x v="0"/>
    <x v="2"/>
    <n v="795.86"/>
    <x v="0"/>
    <x v="0"/>
    <n v="0.15370531670603324"/>
  </r>
  <r>
    <n v="3672"/>
    <x v="0"/>
    <x v="0"/>
    <x v="0"/>
    <s v="7"/>
    <n v="3"/>
    <n v="5234.1550000000007"/>
    <n v="0.32"/>
    <n v="5233.4750000000004"/>
    <n v="15700.425000000001"/>
    <x v="198"/>
    <x v="1"/>
    <x v="4"/>
    <n v="2651.63"/>
    <x v="3"/>
    <x v="0"/>
    <n v="0.16888905873567117"/>
  </r>
  <r>
    <n v="3675"/>
    <x v="2"/>
    <x v="4"/>
    <x v="13"/>
    <s v="9"/>
    <n v="2"/>
    <n v="6577.39"/>
    <n v="0"/>
    <n v="6576.39"/>
    <n v="13152.78"/>
    <x v="242"/>
    <x v="1"/>
    <x v="4"/>
    <n v="3969.03"/>
    <x v="0"/>
    <x v="0"/>
    <n v="0.30176358153941601"/>
  </r>
  <r>
    <n v="3678"/>
    <x v="0"/>
    <x v="1"/>
    <x v="1"/>
    <s v="10"/>
    <n v="3"/>
    <n v="6216.29"/>
    <n v="0"/>
    <n v="6215.29"/>
    <n v="18645.87"/>
    <x v="243"/>
    <x v="1"/>
    <x v="5"/>
    <n v="1488.91"/>
    <x v="0"/>
    <x v="0"/>
    <n v="7.9851999397185555E-2"/>
  </r>
  <r>
    <n v="3680"/>
    <x v="2"/>
    <x v="3"/>
    <x v="7"/>
    <s v="XL"/>
    <n v="3"/>
    <n v="5649.73"/>
    <n v="0.92"/>
    <n v="5649.65"/>
    <n v="16948.949999999997"/>
    <x v="244"/>
    <x v="0"/>
    <x v="4"/>
    <n v="-746.28"/>
    <x v="1"/>
    <x v="1"/>
    <n v="-4.4031046171001752E-2"/>
  </r>
  <r>
    <n v="3683"/>
    <x v="0"/>
    <x v="0"/>
    <x v="17"/>
    <s v="L"/>
    <n v="2"/>
    <n v="5178.83"/>
    <n v="0"/>
    <n v="5177.83"/>
    <n v="10355.66"/>
    <x v="245"/>
    <x v="0"/>
    <x v="5"/>
    <n v="-4.26"/>
    <x v="0"/>
    <x v="0"/>
    <n v="-4.1136924155485985E-4"/>
  </r>
  <r>
    <n v="3688"/>
    <x v="1"/>
    <x v="4"/>
    <x v="9"/>
    <s v="L"/>
    <n v="1"/>
    <n v="7557.71"/>
    <n v="0"/>
    <n v="7556.71"/>
    <n v="7556.71"/>
    <x v="94"/>
    <x v="0"/>
    <x v="5"/>
    <n v="1214.8599999999999"/>
    <x v="0"/>
    <x v="1"/>
    <n v="0.16076573005977468"/>
  </r>
  <r>
    <n v="2028"/>
    <x v="1"/>
    <x v="0"/>
    <x v="15"/>
    <s v="M"/>
    <n v="2"/>
    <n v="5940.3850000000002"/>
    <n v="0.97"/>
    <n v="5940.3550000000005"/>
    <n v="11880.710000000001"/>
    <x v="246"/>
    <x v="0"/>
    <x v="1"/>
    <n v="2305.1"/>
    <x v="1"/>
    <x v="1"/>
    <n v="0.19402039103723598"/>
  </r>
  <r>
    <n v="3691"/>
    <x v="2"/>
    <x v="0"/>
    <x v="17"/>
    <s v="11"/>
    <n v="4"/>
    <n v="5178.83"/>
    <n v="0.51"/>
    <n v="5178.34"/>
    <n v="20713.36"/>
    <x v="138"/>
    <x v="1"/>
    <x v="3"/>
    <n v="2305.88"/>
    <x v="1"/>
    <x v="1"/>
    <n v="0.11132331982836198"/>
  </r>
  <r>
    <n v="3706"/>
    <x v="2"/>
    <x v="4"/>
    <x v="13"/>
    <s v="M"/>
    <n v="1"/>
    <n v="6577.39"/>
    <n v="0"/>
    <n v="6576.39"/>
    <n v="6576.39"/>
    <x v="247"/>
    <x v="0"/>
    <x v="0"/>
    <n v="3271.38"/>
    <x v="0"/>
    <x v="1"/>
    <n v="0.49744312609197444"/>
  </r>
  <r>
    <n v="3707"/>
    <x v="1"/>
    <x v="1"/>
    <x v="1"/>
    <s v="L"/>
    <n v="4"/>
    <n v="6216.29"/>
    <n v="0"/>
    <n v="6215.29"/>
    <n v="24861.16"/>
    <x v="23"/>
    <x v="1"/>
    <x v="2"/>
    <n v="732.26"/>
    <x v="0"/>
    <x v="1"/>
    <n v="2.9453975598885972E-2"/>
  </r>
  <r>
    <n v="3714"/>
    <x v="1"/>
    <x v="0"/>
    <x v="0"/>
    <s v="L"/>
    <n v="2"/>
    <n v="5234.1550000000007"/>
    <n v="0"/>
    <n v="5233.1550000000007"/>
    <n v="10466.310000000001"/>
    <x v="248"/>
    <x v="0"/>
    <x v="2"/>
    <n v="2363.52"/>
    <x v="0"/>
    <x v="1"/>
    <n v="0.22582170793718126"/>
  </r>
  <r>
    <n v="3715"/>
    <x v="2"/>
    <x v="1"/>
    <x v="8"/>
    <s v="L"/>
    <n v="4"/>
    <n v="6010.71"/>
    <n v="0"/>
    <n v="6009.71"/>
    <n v="24038.84"/>
    <x v="249"/>
    <x v="1"/>
    <x v="3"/>
    <n v="2774.43"/>
    <x v="0"/>
    <x v="1"/>
    <n v="0.11541447091456991"/>
  </r>
  <r>
    <n v="3722"/>
    <x v="1"/>
    <x v="3"/>
    <x v="18"/>
    <s v="7"/>
    <n v="1"/>
    <n v="7594.7199999999993"/>
    <n v="0.22"/>
    <n v="7593.94"/>
    <n v="7593.94"/>
    <x v="250"/>
    <x v="0"/>
    <x v="2"/>
    <n v="1787.45"/>
    <x v="4"/>
    <x v="2"/>
    <n v="0.23537847283491839"/>
  </r>
  <r>
    <n v="3724"/>
    <x v="1"/>
    <x v="2"/>
    <x v="10"/>
    <s v="XL"/>
    <n v="2"/>
    <n v="5355.64"/>
    <n v="0"/>
    <n v="5354.64"/>
    <n v="10709.28"/>
    <x v="147"/>
    <x v="1"/>
    <x v="3"/>
    <n v="-866.33"/>
    <x v="0"/>
    <x v="1"/>
    <n v="-8.0895260932574362E-2"/>
  </r>
  <r>
    <n v="3738"/>
    <x v="2"/>
    <x v="0"/>
    <x v="17"/>
    <s v="11"/>
    <n v="1"/>
    <n v="5178.83"/>
    <n v="0.02"/>
    <n v="5177.8500000000004"/>
    <n v="5177.8500000000004"/>
    <x v="251"/>
    <x v="1"/>
    <x v="4"/>
    <n v="-673.94"/>
    <x v="0"/>
    <x v="1"/>
    <n v="-0.13015827032455557"/>
  </r>
  <r>
    <n v="3741"/>
    <x v="1"/>
    <x v="1"/>
    <x v="8"/>
    <s v="L"/>
    <n v="2"/>
    <n v="6010.71"/>
    <n v="0.2"/>
    <n v="6009.91"/>
    <n v="12019.82"/>
    <x v="51"/>
    <x v="0"/>
    <x v="5"/>
    <n v="821.32"/>
    <x v="2"/>
    <x v="1"/>
    <n v="6.8330474166834451E-2"/>
  </r>
  <r>
    <n v="3754"/>
    <x v="1"/>
    <x v="4"/>
    <x v="12"/>
    <s v="L"/>
    <n v="3"/>
    <n v="5620.64"/>
    <n v="0"/>
    <n v="5619.64"/>
    <n v="16858.920000000002"/>
    <x v="252"/>
    <x v="1"/>
    <x v="3"/>
    <n v="828.22"/>
    <x v="0"/>
    <x v="0"/>
    <n v="4.9126515814773425E-2"/>
  </r>
  <r>
    <n v="3755"/>
    <x v="0"/>
    <x v="0"/>
    <x v="15"/>
    <s v="8"/>
    <n v="4"/>
    <n v="5940.3850000000002"/>
    <n v="0.25"/>
    <n v="5939.6350000000002"/>
    <n v="23758.54"/>
    <x v="182"/>
    <x v="0"/>
    <x v="2"/>
    <n v="1007"/>
    <x v="4"/>
    <x v="1"/>
    <n v="4.2384759332854627E-2"/>
  </r>
  <r>
    <n v="3758"/>
    <x v="1"/>
    <x v="4"/>
    <x v="13"/>
    <s v="M"/>
    <n v="3"/>
    <n v="6577.39"/>
    <n v="0"/>
    <n v="6576.39"/>
    <n v="19729.170000000002"/>
    <x v="115"/>
    <x v="0"/>
    <x v="4"/>
    <n v="-233.45"/>
    <x v="0"/>
    <x v="1"/>
    <n v="-1.1832732953286934E-2"/>
  </r>
  <r>
    <n v="3761"/>
    <x v="0"/>
    <x v="2"/>
    <x v="4"/>
    <s v="L"/>
    <n v="4"/>
    <n v="7845.46"/>
    <n v="0.14000000000000001"/>
    <n v="7844.6"/>
    <n v="31378.400000000001"/>
    <x v="253"/>
    <x v="1"/>
    <x v="0"/>
    <n v="2569.7399999999998"/>
    <x v="2"/>
    <x v="0"/>
    <n v="8.1895189047242675E-2"/>
  </r>
  <r>
    <n v="3762"/>
    <x v="2"/>
    <x v="1"/>
    <x v="8"/>
    <s v="9"/>
    <n v="1"/>
    <n v="6010.71"/>
    <n v="0"/>
    <n v="6009.71"/>
    <n v="6009.71"/>
    <x v="30"/>
    <x v="0"/>
    <x v="2"/>
    <n v="-997.11"/>
    <x v="0"/>
    <x v="1"/>
    <n v="-0.16591649181075294"/>
  </r>
  <r>
    <n v="3764"/>
    <x v="2"/>
    <x v="1"/>
    <x v="3"/>
    <s v="10"/>
    <n v="2"/>
    <n v="4904.79"/>
    <n v="0"/>
    <n v="4903.79"/>
    <n v="9807.58"/>
    <x v="254"/>
    <x v="1"/>
    <x v="5"/>
    <n v="528.86"/>
    <x v="0"/>
    <x v="0"/>
    <n v="5.3923597870218748E-2"/>
  </r>
  <r>
    <n v="3765"/>
    <x v="1"/>
    <x v="4"/>
    <x v="13"/>
    <s v="M"/>
    <n v="3"/>
    <n v="6577.39"/>
    <n v="0.44"/>
    <n v="6576.83"/>
    <n v="19730.489999999998"/>
    <x v="74"/>
    <x v="1"/>
    <x v="0"/>
    <n v="3376.32"/>
    <x v="3"/>
    <x v="0"/>
    <n v="0.17112195388963986"/>
  </r>
  <r>
    <n v="3770"/>
    <x v="0"/>
    <x v="4"/>
    <x v="12"/>
    <s v="M"/>
    <n v="4"/>
    <n v="5620.64"/>
    <n v="0.36"/>
    <n v="5620"/>
    <n v="22480"/>
    <x v="255"/>
    <x v="0"/>
    <x v="2"/>
    <n v="3784.67"/>
    <x v="3"/>
    <x v="0"/>
    <n v="0.16835720640569396"/>
  </r>
  <r>
    <n v="3772"/>
    <x v="0"/>
    <x v="0"/>
    <x v="14"/>
    <s v="XL"/>
    <n v="3"/>
    <n v="6880.21"/>
    <n v="0"/>
    <n v="6879.21"/>
    <n v="20637.63"/>
    <x v="256"/>
    <x v="0"/>
    <x v="1"/>
    <n v="3115.97"/>
    <x v="0"/>
    <x v="0"/>
    <n v="0.15098487568582245"/>
  </r>
  <r>
    <n v="3789"/>
    <x v="0"/>
    <x v="1"/>
    <x v="8"/>
    <s v="XL"/>
    <n v="2"/>
    <n v="6010.71"/>
    <n v="0"/>
    <n v="6009.71"/>
    <n v="12019.42"/>
    <x v="257"/>
    <x v="0"/>
    <x v="0"/>
    <n v="863.29"/>
    <x v="0"/>
    <x v="0"/>
    <n v="7.1824597193541784E-2"/>
  </r>
  <r>
    <n v="3794"/>
    <x v="2"/>
    <x v="3"/>
    <x v="7"/>
    <s v="XL"/>
    <n v="3"/>
    <n v="5649.73"/>
    <n v="0"/>
    <n v="5648.73"/>
    <n v="16946.189999999999"/>
    <x v="208"/>
    <x v="1"/>
    <x v="1"/>
    <n v="125.97"/>
    <x v="0"/>
    <x v="1"/>
    <n v="7.4335293065874988E-3"/>
  </r>
  <r>
    <n v="3813"/>
    <x v="2"/>
    <x v="1"/>
    <x v="1"/>
    <s v="M"/>
    <n v="3"/>
    <n v="6216.29"/>
    <n v="0"/>
    <n v="6215.29"/>
    <n v="18645.87"/>
    <x v="258"/>
    <x v="1"/>
    <x v="2"/>
    <n v="-921.98"/>
    <x v="0"/>
    <x v="1"/>
    <n v="-4.9446874830726593E-2"/>
  </r>
  <r>
    <n v="3815"/>
    <x v="0"/>
    <x v="3"/>
    <x v="7"/>
    <s v="9"/>
    <n v="3"/>
    <n v="5649.73"/>
    <n v="0"/>
    <n v="5648.73"/>
    <n v="16946.189999999999"/>
    <x v="169"/>
    <x v="1"/>
    <x v="5"/>
    <n v="1224.44"/>
    <x v="0"/>
    <x v="1"/>
    <n v="7.2254589379677686E-2"/>
  </r>
  <r>
    <n v="3819"/>
    <x v="1"/>
    <x v="2"/>
    <x v="4"/>
    <s v="M"/>
    <n v="3"/>
    <n v="7845.46"/>
    <n v="0"/>
    <n v="7844.46"/>
    <n v="23533.38"/>
    <x v="31"/>
    <x v="0"/>
    <x v="5"/>
    <n v="2723"/>
    <x v="0"/>
    <x v="1"/>
    <n v="0.1157079858481867"/>
  </r>
  <r>
    <n v="3830"/>
    <x v="1"/>
    <x v="0"/>
    <x v="15"/>
    <s v="L"/>
    <n v="2"/>
    <n v="5940.3850000000002"/>
    <n v="0"/>
    <n v="5939.3850000000002"/>
    <n v="11878.77"/>
    <x v="259"/>
    <x v="0"/>
    <x v="0"/>
    <n v="3188.23"/>
    <x v="0"/>
    <x v="0"/>
    <n v="0.26839731723065602"/>
  </r>
  <r>
    <n v="3844"/>
    <x v="0"/>
    <x v="3"/>
    <x v="11"/>
    <s v="M"/>
    <n v="1"/>
    <n v="6186.9950000000008"/>
    <n v="0.32"/>
    <n v="6186.3150000000005"/>
    <n v="6186.3150000000005"/>
    <x v="260"/>
    <x v="1"/>
    <x v="2"/>
    <n v="1073.8"/>
    <x v="3"/>
    <x v="0"/>
    <n v="0.17357667690701167"/>
  </r>
  <r>
    <n v="3858"/>
    <x v="1"/>
    <x v="1"/>
    <x v="1"/>
    <s v="L"/>
    <n v="2"/>
    <n v="6216.29"/>
    <n v="0.87"/>
    <n v="6216.16"/>
    <n v="12432.32"/>
    <x v="166"/>
    <x v="1"/>
    <x v="3"/>
    <n v="-485.83"/>
    <x v="1"/>
    <x v="0"/>
    <n v="-3.9077983835679904E-2"/>
  </r>
  <r>
    <n v="3859"/>
    <x v="1"/>
    <x v="1"/>
    <x v="3"/>
    <s v="M"/>
    <n v="3"/>
    <n v="4904.79"/>
    <n v="0"/>
    <n v="4903.79"/>
    <n v="14711.369999999999"/>
    <x v="237"/>
    <x v="0"/>
    <x v="2"/>
    <n v="2907.33"/>
    <x v="0"/>
    <x v="0"/>
    <n v="0.19762469436904925"/>
  </r>
  <r>
    <n v="3860"/>
    <x v="2"/>
    <x v="2"/>
    <x v="10"/>
    <s v="7"/>
    <n v="3"/>
    <n v="5355.64"/>
    <n v="0"/>
    <n v="5354.64"/>
    <n v="16063.920000000002"/>
    <x v="58"/>
    <x v="1"/>
    <x v="2"/>
    <n v="3441.46"/>
    <x v="0"/>
    <x v="1"/>
    <n v="0.2142353796582652"/>
  </r>
  <r>
    <n v="3862"/>
    <x v="1"/>
    <x v="1"/>
    <x v="6"/>
    <s v="L"/>
    <n v="1"/>
    <n v="6202.99"/>
    <n v="0.61"/>
    <n v="6202.5999999999995"/>
    <n v="6202.5999999999995"/>
    <x v="261"/>
    <x v="1"/>
    <x v="4"/>
    <n v="3454.42"/>
    <x v="1"/>
    <x v="2"/>
    <n v="0.55693096443426959"/>
  </r>
  <r>
    <n v="3871"/>
    <x v="0"/>
    <x v="3"/>
    <x v="5"/>
    <s v="XL"/>
    <n v="3"/>
    <n v="5873.83"/>
    <n v="0"/>
    <n v="5872.83"/>
    <n v="17618.489999999998"/>
    <x v="117"/>
    <x v="0"/>
    <x v="4"/>
    <n v="1773.99"/>
    <x v="0"/>
    <x v="0"/>
    <n v="0.10068910559304459"/>
  </r>
  <r>
    <n v="3874"/>
    <x v="0"/>
    <x v="2"/>
    <x v="10"/>
    <s v="XL"/>
    <n v="4"/>
    <n v="5355.64"/>
    <n v="0.7"/>
    <n v="5355.34"/>
    <n v="21421.360000000001"/>
    <x v="262"/>
    <x v="1"/>
    <x v="5"/>
    <n v="1605.13"/>
    <x v="1"/>
    <x v="0"/>
    <n v="7.4931283541287766E-2"/>
  </r>
  <r>
    <n v="3885"/>
    <x v="2"/>
    <x v="3"/>
    <x v="11"/>
    <s v="XL"/>
    <n v="2"/>
    <n v="6186.9950000000008"/>
    <n v="0"/>
    <n v="6185.9950000000008"/>
    <n v="12371.990000000002"/>
    <x v="21"/>
    <x v="1"/>
    <x v="3"/>
    <n v="-512.97"/>
    <x v="0"/>
    <x v="0"/>
    <n v="-4.1462206160852048E-2"/>
  </r>
  <r>
    <n v="3887"/>
    <x v="0"/>
    <x v="2"/>
    <x v="4"/>
    <s v="10"/>
    <n v="4"/>
    <n v="7845.46"/>
    <n v="0"/>
    <n v="7844.46"/>
    <n v="31377.84"/>
    <x v="263"/>
    <x v="1"/>
    <x v="2"/>
    <n v="3824.51"/>
    <x v="0"/>
    <x v="1"/>
    <n v="0.12188570022665678"/>
  </r>
  <r>
    <n v="3898"/>
    <x v="2"/>
    <x v="2"/>
    <x v="10"/>
    <s v="L"/>
    <n v="1"/>
    <n v="5355.64"/>
    <n v="7.0000000000000007E-2"/>
    <n v="5354.71"/>
    <n v="5354.71"/>
    <x v="105"/>
    <x v="0"/>
    <x v="0"/>
    <n v="1353.92"/>
    <x v="0"/>
    <x v="1"/>
    <n v="0.25284655938416833"/>
  </r>
  <r>
    <n v="3900"/>
    <x v="2"/>
    <x v="2"/>
    <x v="4"/>
    <s v="M"/>
    <n v="3"/>
    <n v="7845.46"/>
    <n v="0"/>
    <n v="7844.46"/>
    <n v="23533.38"/>
    <x v="264"/>
    <x v="0"/>
    <x v="4"/>
    <n v="-553.29999999999995"/>
    <x v="0"/>
    <x v="0"/>
    <n v="-2.3511284821814797E-2"/>
  </r>
  <r>
    <n v="3904"/>
    <x v="1"/>
    <x v="0"/>
    <x v="15"/>
    <s v="L"/>
    <n v="2"/>
    <n v="5940.3850000000002"/>
    <n v="0"/>
    <n v="5939.3850000000002"/>
    <n v="11878.77"/>
    <x v="265"/>
    <x v="0"/>
    <x v="3"/>
    <n v="1143.1099999999999"/>
    <x v="0"/>
    <x v="1"/>
    <n v="9.6231343817583789E-2"/>
  </r>
  <r>
    <n v="3906"/>
    <x v="2"/>
    <x v="1"/>
    <x v="6"/>
    <s v="XL"/>
    <n v="4"/>
    <n v="6202.99"/>
    <n v="0.14000000000000001"/>
    <n v="6202.13"/>
    <n v="24808.52"/>
    <x v="259"/>
    <x v="1"/>
    <x v="0"/>
    <n v="3435.73"/>
    <x v="2"/>
    <x v="0"/>
    <n v="0.13848992201066407"/>
  </r>
  <r>
    <n v="3911"/>
    <x v="2"/>
    <x v="0"/>
    <x v="17"/>
    <s v="M"/>
    <n v="1"/>
    <n v="5178.83"/>
    <n v="0"/>
    <n v="5177.83"/>
    <n v="5177.83"/>
    <x v="266"/>
    <x v="0"/>
    <x v="2"/>
    <n v="3070.67"/>
    <x v="0"/>
    <x v="1"/>
    <n v="0.59304187275364395"/>
  </r>
  <r>
    <n v="3913"/>
    <x v="1"/>
    <x v="3"/>
    <x v="18"/>
    <s v="XL"/>
    <n v="1"/>
    <n v="7594.7199999999993"/>
    <n v="0"/>
    <n v="7593.7199999999993"/>
    <n v="7593.7199999999993"/>
    <x v="267"/>
    <x v="0"/>
    <x v="4"/>
    <n v="2941.84"/>
    <x v="0"/>
    <x v="0"/>
    <n v="0.38740432884014692"/>
  </r>
  <r>
    <n v="3914"/>
    <x v="1"/>
    <x v="0"/>
    <x v="0"/>
    <s v="XL"/>
    <n v="2"/>
    <n v="5234.1550000000007"/>
    <n v="0"/>
    <n v="5233.1550000000007"/>
    <n v="10466.310000000001"/>
    <x v="268"/>
    <x v="0"/>
    <x v="4"/>
    <n v="1253.02"/>
    <x v="0"/>
    <x v="0"/>
    <n v="0.11971936623318054"/>
  </r>
  <r>
    <n v="3915"/>
    <x v="2"/>
    <x v="4"/>
    <x v="12"/>
    <s v="M"/>
    <n v="2"/>
    <n v="5620.64"/>
    <n v="0"/>
    <n v="5619.64"/>
    <n v="11239.28"/>
    <x v="228"/>
    <x v="1"/>
    <x v="1"/>
    <n v="3067.47"/>
    <x v="0"/>
    <x v="1"/>
    <n v="0.27292406631029742"/>
  </r>
  <r>
    <n v="3925"/>
    <x v="1"/>
    <x v="2"/>
    <x v="10"/>
    <s v="M"/>
    <n v="2"/>
    <n v="5355.64"/>
    <n v="0.23"/>
    <n v="5354.87"/>
    <n v="10709.74"/>
    <x v="269"/>
    <x v="0"/>
    <x v="0"/>
    <n v="36.04"/>
    <x v="4"/>
    <x v="1"/>
    <n v="3.3651610589986313E-3"/>
  </r>
  <r>
    <n v="3926"/>
    <x v="2"/>
    <x v="1"/>
    <x v="6"/>
    <s v="XL"/>
    <n v="2"/>
    <n v="6202.99"/>
    <n v="0"/>
    <n v="6201.99"/>
    <n v="12403.98"/>
    <x v="270"/>
    <x v="1"/>
    <x v="2"/>
    <n v="2972.86"/>
    <x v="0"/>
    <x v="0"/>
    <n v="0.23966984790365675"/>
  </r>
  <r>
    <n v="3932"/>
    <x v="1"/>
    <x v="3"/>
    <x v="5"/>
    <s v="L"/>
    <n v="4"/>
    <n v="5873.83"/>
    <n v="0.54"/>
    <n v="5873.37"/>
    <n v="23493.48"/>
    <x v="104"/>
    <x v="0"/>
    <x v="3"/>
    <n v="1289.3599999999999"/>
    <x v="1"/>
    <x v="1"/>
    <n v="5.4881609706182305E-2"/>
  </r>
  <r>
    <n v="3933"/>
    <x v="2"/>
    <x v="3"/>
    <x v="5"/>
    <s v="XL"/>
    <n v="4"/>
    <n v="5873.83"/>
    <n v="0"/>
    <n v="5872.83"/>
    <n v="23491.32"/>
    <x v="106"/>
    <x v="1"/>
    <x v="1"/>
    <n v="1348.54"/>
    <x v="0"/>
    <x v="1"/>
    <n v="5.7405884386232869E-2"/>
  </r>
  <r>
    <n v="3936"/>
    <x v="1"/>
    <x v="1"/>
    <x v="3"/>
    <s v="M"/>
    <n v="3"/>
    <n v="4904.79"/>
    <n v="0"/>
    <n v="4903.79"/>
    <n v="14711.369999999999"/>
    <x v="271"/>
    <x v="0"/>
    <x v="1"/>
    <n v="1983.5"/>
    <x v="0"/>
    <x v="2"/>
    <n v="0.13482768770005785"/>
  </r>
  <r>
    <n v="3942"/>
    <x v="2"/>
    <x v="1"/>
    <x v="3"/>
    <s v="M"/>
    <n v="1"/>
    <n v="4904.79"/>
    <n v="0"/>
    <n v="4903.79"/>
    <n v="4903.79"/>
    <x v="272"/>
    <x v="1"/>
    <x v="4"/>
    <n v="-938.81"/>
    <x v="0"/>
    <x v="0"/>
    <n v="-0.19144580008524018"/>
  </r>
  <r>
    <n v="2042"/>
    <x v="1"/>
    <x v="0"/>
    <x v="0"/>
    <s v="L"/>
    <n v="4"/>
    <n v="5234.1550000000007"/>
    <n v="0"/>
    <n v="5233.1550000000007"/>
    <n v="20932.620000000003"/>
    <x v="273"/>
    <x v="1"/>
    <x v="4"/>
    <n v="-84.8"/>
    <x v="0"/>
    <x v="0"/>
    <n v="-4.0510934608281235E-3"/>
  </r>
  <r>
    <n v="3955"/>
    <x v="1"/>
    <x v="3"/>
    <x v="5"/>
    <s v="XL"/>
    <n v="3"/>
    <n v="5873.83"/>
    <n v="0"/>
    <n v="5872.83"/>
    <n v="17618.489999999998"/>
    <x v="1"/>
    <x v="0"/>
    <x v="1"/>
    <n v="1798.76"/>
    <x v="0"/>
    <x v="1"/>
    <n v="0.10209501495304082"/>
  </r>
  <r>
    <n v="3959"/>
    <x v="1"/>
    <x v="1"/>
    <x v="6"/>
    <s v="M"/>
    <n v="4"/>
    <n v="6202.99"/>
    <n v="0"/>
    <n v="6201.99"/>
    <n v="24807.96"/>
    <x v="8"/>
    <x v="0"/>
    <x v="2"/>
    <n v="2494.96"/>
    <x v="0"/>
    <x v="1"/>
    <n v="0.10057094577708123"/>
  </r>
  <r>
    <n v="3972"/>
    <x v="2"/>
    <x v="4"/>
    <x v="13"/>
    <s v="XL"/>
    <n v="1"/>
    <n v="6577.39"/>
    <n v="0"/>
    <n v="6576.39"/>
    <n v="6576.39"/>
    <x v="274"/>
    <x v="0"/>
    <x v="3"/>
    <n v="1990.32"/>
    <x v="0"/>
    <x v="0"/>
    <n v="0.30264628466377447"/>
  </r>
  <r>
    <n v="3974"/>
    <x v="2"/>
    <x v="1"/>
    <x v="6"/>
    <s v="L"/>
    <n v="4"/>
    <n v="6202.99"/>
    <n v="0"/>
    <n v="6201.99"/>
    <n v="24807.96"/>
    <x v="275"/>
    <x v="0"/>
    <x v="4"/>
    <n v="97.6"/>
    <x v="0"/>
    <x v="0"/>
    <n v="3.9342211129008596E-3"/>
  </r>
  <r>
    <n v="3975"/>
    <x v="0"/>
    <x v="0"/>
    <x v="0"/>
    <s v="M"/>
    <n v="3"/>
    <n v="5234.1550000000007"/>
    <n v="0"/>
    <n v="5233.1550000000007"/>
    <n v="15699.465000000002"/>
    <x v="92"/>
    <x v="0"/>
    <x v="2"/>
    <n v="1293.3800000000001"/>
    <x v="0"/>
    <x v="1"/>
    <n v="8.2383699062356583E-2"/>
  </r>
  <r>
    <n v="3979"/>
    <x v="2"/>
    <x v="3"/>
    <x v="18"/>
    <s v="M"/>
    <n v="3"/>
    <n v="7594.7199999999993"/>
    <n v="0.5"/>
    <n v="7594.2199999999993"/>
    <n v="22782.659999999996"/>
    <x v="241"/>
    <x v="1"/>
    <x v="1"/>
    <n v="896.9"/>
    <x v="3"/>
    <x v="1"/>
    <n v="3.9367659439240199E-2"/>
  </r>
  <r>
    <n v="3986"/>
    <x v="1"/>
    <x v="4"/>
    <x v="16"/>
    <s v="L"/>
    <n v="1"/>
    <n v="5282.31"/>
    <n v="0"/>
    <n v="5281.31"/>
    <n v="5281.31"/>
    <x v="21"/>
    <x v="0"/>
    <x v="2"/>
    <n v="681.84"/>
    <x v="0"/>
    <x v="0"/>
    <n v="0.12910433206912678"/>
  </r>
  <r>
    <n v="3987"/>
    <x v="1"/>
    <x v="2"/>
    <x v="4"/>
    <s v="L"/>
    <n v="2"/>
    <n v="7845.46"/>
    <n v="0"/>
    <n v="7844.46"/>
    <n v="15688.92"/>
    <x v="276"/>
    <x v="0"/>
    <x v="0"/>
    <n v="3908.61"/>
    <x v="0"/>
    <x v="0"/>
    <n v="0.24913187140988674"/>
  </r>
  <r>
    <n v="3988"/>
    <x v="1"/>
    <x v="1"/>
    <x v="3"/>
    <s v="M"/>
    <n v="4"/>
    <n v="4904.79"/>
    <n v="0.67"/>
    <n v="4904.46"/>
    <n v="19617.84"/>
    <x v="210"/>
    <x v="1"/>
    <x v="1"/>
    <n v="3698.62"/>
    <x v="1"/>
    <x v="0"/>
    <n v="0.18853349808133821"/>
  </r>
  <r>
    <n v="3997"/>
    <x v="0"/>
    <x v="1"/>
    <x v="1"/>
    <s v="M"/>
    <n v="4"/>
    <n v="6216.29"/>
    <n v="0"/>
    <n v="6215.29"/>
    <n v="24861.16"/>
    <x v="277"/>
    <x v="0"/>
    <x v="0"/>
    <n v="-484.62"/>
    <x v="0"/>
    <x v="0"/>
    <n v="-1.9493056639352309E-2"/>
  </r>
  <r>
    <n v="4008"/>
    <x v="2"/>
    <x v="2"/>
    <x v="10"/>
    <s v="9"/>
    <n v="3"/>
    <n v="5355.64"/>
    <n v="7.0000000000000007E-2"/>
    <n v="5354.71"/>
    <n v="16064.130000000001"/>
    <x v="278"/>
    <x v="0"/>
    <x v="0"/>
    <n v="180.31"/>
    <x v="0"/>
    <x v="2"/>
    <n v="1.1224386256834326E-2"/>
  </r>
  <r>
    <n v="4011"/>
    <x v="0"/>
    <x v="4"/>
    <x v="16"/>
    <s v="M"/>
    <n v="4"/>
    <n v="5282.31"/>
    <n v="0"/>
    <n v="5281.31"/>
    <n v="21125.24"/>
    <x v="279"/>
    <x v="0"/>
    <x v="3"/>
    <n v="2934.53"/>
    <x v="0"/>
    <x v="1"/>
    <n v="0.13891108456045942"/>
  </r>
  <r>
    <n v="4013"/>
    <x v="0"/>
    <x v="2"/>
    <x v="10"/>
    <s v="10"/>
    <n v="2"/>
    <n v="5355.64"/>
    <n v="0"/>
    <n v="5354.64"/>
    <n v="10709.28"/>
    <x v="279"/>
    <x v="1"/>
    <x v="0"/>
    <n v="1398.9"/>
    <x v="0"/>
    <x v="1"/>
    <n v="0.1306250280130877"/>
  </r>
  <r>
    <n v="4015"/>
    <x v="2"/>
    <x v="1"/>
    <x v="8"/>
    <s v="L"/>
    <n v="4"/>
    <n v="6010.71"/>
    <n v="0"/>
    <n v="6009.71"/>
    <n v="24038.84"/>
    <x v="280"/>
    <x v="1"/>
    <x v="3"/>
    <n v="1194.93"/>
    <x v="0"/>
    <x v="1"/>
    <n v="4.9708305392439901E-2"/>
  </r>
  <r>
    <n v="2020"/>
    <x v="2"/>
    <x v="4"/>
    <x v="16"/>
    <s v="12"/>
    <n v="2"/>
    <n v="5282.31"/>
    <n v="0"/>
    <n v="5281.31"/>
    <n v="10562.62"/>
    <x v="281"/>
    <x v="1"/>
    <x v="5"/>
    <n v="671.98"/>
    <x v="0"/>
    <x v="1"/>
    <n v="6.3618685515525505E-2"/>
  </r>
  <r>
    <n v="4053"/>
    <x v="0"/>
    <x v="0"/>
    <x v="15"/>
    <s v="6"/>
    <n v="2"/>
    <n v="5940.3850000000002"/>
    <n v="0"/>
    <n v="5939.3850000000002"/>
    <n v="11878.77"/>
    <x v="17"/>
    <x v="0"/>
    <x v="1"/>
    <n v="21.13"/>
    <x v="0"/>
    <x v="1"/>
    <n v="1.7788036976892387E-3"/>
  </r>
  <r>
    <n v="4064"/>
    <x v="2"/>
    <x v="2"/>
    <x v="2"/>
    <s v="L"/>
    <n v="4"/>
    <n v="5981.92"/>
    <n v="0.38"/>
    <n v="5981.3"/>
    <n v="23925.200000000001"/>
    <x v="282"/>
    <x v="0"/>
    <x v="0"/>
    <n v="587.63"/>
    <x v="3"/>
    <x v="0"/>
    <n v="2.4561132195342148E-2"/>
  </r>
  <r>
    <n v="4066"/>
    <x v="1"/>
    <x v="4"/>
    <x v="9"/>
    <s v="L"/>
    <n v="4"/>
    <n v="7557.71"/>
    <n v="0.85"/>
    <n v="7557.56"/>
    <n v="30230.240000000002"/>
    <x v="123"/>
    <x v="0"/>
    <x v="3"/>
    <n v="3344.47"/>
    <x v="1"/>
    <x v="1"/>
    <n v="0.11063325994103916"/>
  </r>
  <r>
    <n v="4067"/>
    <x v="2"/>
    <x v="0"/>
    <x v="14"/>
    <s v="M"/>
    <n v="4"/>
    <n v="6880.21"/>
    <n v="0"/>
    <n v="6879.21"/>
    <n v="27516.84"/>
    <x v="161"/>
    <x v="1"/>
    <x v="3"/>
    <n v="1974.4"/>
    <x v="0"/>
    <x v="1"/>
    <n v="7.1752425060435721E-2"/>
  </r>
  <r>
    <n v="4073"/>
    <x v="1"/>
    <x v="3"/>
    <x v="7"/>
    <s v="M"/>
    <n v="2"/>
    <n v="5649.73"/>
    <n v="0"/>
    <n v="5648.73"/>
    <n v="11297.46"/>
    <x v="185"/>
    <x v="1"/>
    <x v="5"/>
    <n v="3353.3"/>
    <x v="0"/>
    <x v="0"/>
    <n v="0.29681893098094619"/>
  </r>
  <r>
    <n v="4086"/>
    <x v="0"/>
    <x v="4"/>
    <x v="16"/>
    <s v="XL"/>
    <n v="3"/>
    <n v="5282.31"/>
    <n v="0"/>
    <n v="5281.31"/>
    <n v="15843.93"/>
    <x v="283"/>
    <x v="1"/>
    <x v="1"/>
    <n v="-195"/>
    <x v="0"/>
    <x v="1"/>
    <n v="-1.2307552482243989E-2"/>
  </r>
  <r>
    <n v="4088"/>
    <x v="2"/>
    <x v="3"/>
    <x v="7"/>
    <s v="M"/>
    <n v="2"/>
    <n v="5649.73"/>
    <n v="0.41"/>
    <n v="5649.1399999999994"/>
    <n v="11298.279999999999"/>
    <x v="196"/>
    <x v="0"/>
    <x v="2"/>
    <n v="1548.1"/>
    <x v="3"/>
    <x v="1"/>
    <n v="0.13702085627192812"/>
  </r>
  <r>
    <n v="4104"/>
    <x v="1"/>
    <x v="2"/>
    <x v="4"/>
    <s v="11"/>
    <n v="2"/>
    <n v="7845.46"/>
    <n v="0"/>
    <n v="7844.46"/>
    <n v="15688.92"/>
    <x v="284"/>
    <x v="1"/>
    <x v="3"/>
    <n v="3999.21"/>
    <x v="0"/>
    <x v="1"/>
    <n v="0.25490664749390013"/>
  </r>
  <r>
    <n v="4107"/>
    <x v="1"/>
    <x v="4"/>
    <x v="9"/>
    <s v="L"/>
    <n v="2"/>
    <n v="7557.71"/>
    <n v="0"/>
    <n v="7556.71"/>
    <n v="15113.42"/>
    <x v="285"/>
    <x v="0"/>
    <x v="0"/>
    <n v="779.19"/>
    <x v="0"/>
    <x v="1"/>
    <n v="5.1556166638656246E-2"/>
  </r>
  <r>
    <n v="4108"/>
    <x v="1"/>
    <x v="4"/>
    <x v="13"/>
    <s v="L"/>
    <n v="2"/>
    <n v="6577.39"/>
    <n v="0.19"/>
    <n v="6576.58"/>
    <n v="13153.16"/>
    <x v="286"/>
    <x v="1"/>
    <x v="5"/>
    <n v="1059.07"/>
    <x v="2"/>
    <x v="2"/>
    <n v="8.0518293702806013E-2"/>
  </r>
  <r>
    <n v="4110"/>
    <x v="2"/>
    <x v="3"/>
    <x v="11"/>
    <s v="M"/>
    <n v="2"/>
    <n v="6186.9950000000008"/>
    <n v="0.41"/>
    <n v="6186.4050000000007"/>
    <n v="12372.810000000001"/>
    <x v="287"/>
    <x v="0"/>
    <x v="0"/>
    <n v="3387.91"/>
    <x v="3"/>
    <x v="0"/>
    <n v="0.27381896270936024"/>
  </r>
  <r>
    <n v="4114"/>
    <x v="1"/>
    <x v="3"/>
    <x v="11"/>
    <s v="XL"/>
    <n v="4"/>
    <n v="6186.9950000000008"/>
    <n v="0"/>
    <n v="6185.9950000000008"/>
    <n v="24743.980000000003"/>
    <x v="51"/>
    <x v="0"/>
    <x v="3"/>
    <n v="-233.59"/>
    <x v="0"/>
    <x v="1"/>
    <n v="-9.4402759782379383E-3"/>
  </r>
  <r>
    <n v="4118"/>
    <x v="1"/>
    <x v="2"/>
    <x v="10"/>
    <s v="XL"/>
    <n v="4"/>
    <n v="5355.64"/>
    <n v="0"/>
    <n v="5354.64"/>
    <n v="21418.560000000001"/>
    <x v="288"/>
    <x v="0"/>
    <x v="2"/>
    <n v="-538.94000000000005"/>
    <x v="0"/>
    <x v="1"/>
    <n v="-2.5162289154826468E-2"/>
  </r>
  <r>
    <n v="4122"/>
    <x v="1"/>
    <x v="1"/>
    <x v="6"/>
    <s v="11"/>
    <n v="1"/>
    <n v="6202.99"/>
    <n v="0"/>
    <n v="6201.99"/>
    <n v="6201.99"/>
    <x v="55"/>
    <x v="0"/>
    <x v="2"/>
    <n v="-261.43"/>
    <x v="0"/>
    <x v="1"/>
    <n v="-4.2152599407609494E-2"/>
  </r>
  <r>
    <n v="4124"/>
    <x v="1"/>
    <x v="2"/>
    <x v="10"/>
    <s v="M"/>
    <n v="1"/>
    <n v="5355.64"/>
    <n v="0"/>
    <n v="5354.64"/>
    <n v="5354.64"/>
    <x v="289"/>
    <x v="1"/>
    <x v="4"/>
    <n v="477.62"/>
    <x v="0"/>
    <x v="2"/>
    <n v="8.9197406361585463E-2"/>
  </r>
  <r>
    <n v="4133"/>
    <x v="2"/>
    <x v="2"/>
    <x v="2"/>
    <s v="L"/>
    <n v="3"/>
    <n v="5981.92"/>
    <n v="0"/>
    <n v="5980.92"/>
    <n v="17942.760000000002"/>
    <x v="61"/>
    <x v="1"/>
    <x v="2"/>
    <n v="1015.38"/>
    <x v="0"/>
    <x v="0"/>
    <n v="5.6589956060271659E-2"/>
  </r>
  <r>
    <n v="4147"/>
    <x v="2"/>
    <x v="2"/>
    <x v="4"/>
    <s v="L"/>
    <n v="1"/>
    <n v="7845.46"/>
    <n v="0"/>
    <n v="7844.46"/>
    <n v="7844.46"/>
    <x v="96"/>
    <x v="1"/>
    <x v="4"/>
    <n v="106.35"/>
    <x v="0"/>
    <x v="0"/>
    <n v="1.3557338554852723E-2"/>
  </r>
  <r>
    <n v="4148"/>
    <x v="1"/>
    <x v="0"/>
    <x v="15"/>
    <s v="7"/>
    <n v="3"/>
    <n v="5940.3850000000002"/>
    <n v="0"/>
    <n v="5939.3850000000002"/>
    <n v="17818.154999999999"/>
    <x v="290"/>
    <x v="0"/>
    <x v="1"/>
    <n v="-900.4"/>
    <x v="0"/>
    <x v="1"/>
    <n v="-5.0532729118138213E-2"/>
  </r>
  <r>
    <n v="4149"/>
    <x v="0"/>
    <x v="3"/>
    <x v="5"/>
    <s v="10"/>
    <n v="4"/>
    <n v="5873.83"/>
    <n v="0"/>
    <n v="5872.83"/>
    <n v="23491.32"/>
    <x v="2"/>
    <x v="0"/>
    <x v="1"/>
    <n v="274.76"/>
    <x v="0"/>
    <x v="0"/>
    <n v="1.1696235034897997E-2"/>
  </r>
  <r>
    <n v="4152"/>
    <x v="2"/>
    <x v="2"/>
    <x v="19"/>
    <s v="XL"/>
    <n v="1"/>
    <n v="5117.8649999999998"/>
    <n v="0"/>
    <n v="5116.8649999999998"/>
    <n v="5116.8649999999998"/>
    <x v="65"/>
    <x v="1"/>
    <x v="2"/>
    <n v="1011.99"/>
    <x v="0"/>
    <x v="0"/>
    <n v="0.1977753956768451"/>
  </r>
  <r>
    <n v="4157"/>
    <x v="2"/>
    <x v="2"/>
    <x v="4"/>
    <s v="XL"/>
    <n v="3"/>
    <n v="7845.46"/>
    <n v="0"/>
    <n v="7844.46"/>
    <n v="23533.38"/>
    <x v="83"/>
    <x v="0"/>
    <x v="4"/>
    <n v="-699.76"/>
    <x v="0"/>
    <x v="1"/>
    <n v="-2.9734785228471217E-2"/>
  </r>
  <r>
    <n v="4165"/>
    <x v="0"/>
    <x v="3"/>
    <x v="5"/>
    <s v="XL"/>
    <n v="1"/>
    <n v="5873.83"/>
    <n v="0.26"/>
    <n v="5873.09"/>
    <n v="5873.09"/>
    <x v="237"/>
    <x v="1"/>
    <x v="3"/>
    <n v="2194.38"/>
    <x v="4"/>
    <x v="0"/>
    <n v="0.37363295982183142"/>
  </r>
  <r>
    <n v="4168"/>
    <x v="1"/>
    <x v="4"/>
    <x v="12"/>
    <s v="10"/>
    <n v="4"/>
    <n v="5620.64"/>
    <n v="0"/>
    <n v="5619.64"/>
    <n v="22478.560000000001"/>
    <x v="291"/>
    <x v="0"/>
    <x v="2"/>
    <n v="3282.84"/>
    <x v="0"/>
    <x v="0"/>
    <n v="0.14604316290723249"/>
  </r>
  <r>
    <n v="4172"/>
    <x v="0"/>
    <x v="0"/>
    <x v="14"/>
    <s v="L"/>
    <n v="1"/>
    <n v="6880.21"/>
    <n v="0"/>
    <n v="6879.21"/>
    <n v="6879.21"/>
    <x v="218"/>
    <x v="0"/>
    <x v="3"/>
    <n v="155.61000000000001"/>
    <x v="0"/>
    <x v="1"/>
    <n v="2.2620329950677479E-2"/>
  </r>
  <r>
    <n v="4176"/>
    <x v="0"/>
    <x v="3"/>
    <x v="18"/>
    <s v="M"/>
    <n v="1"/>
    <n v="7594.7199999999993"/>
    <n v="0"/>
    <n v="7593.7199999999993"/>
    <n v="7593.7199999999993"/>
    <x v="292"/>
    <x v="0"/>
    <x v="0"/>
    <n v="2254.67"/>
    <x v="0"/>
    <x v="2"/>
    <n v="0.29691244870761635"/>
  </r>
  <r>
    <n v="4181"/>
    <x v="0"/>
    <x v="4"/>
    <x v="12"/>
    <s v="M"/>
    <n v="3"/>
    <n v="5620.64"/>
    <n v="0"/>
    <n v="5619.64"/>
    <n v="16858.920000000002"/>
    <x v="213"/>
    <x v="0"/>
    <x v="4"/>
    <n v="-564.63"/>
    <x v="0"/>
    <x v="1"/>
    <n v="-3.3491469204433022E-2"/>
  </r>
  <r>
    <n v="4182"/>
    <x v="2"/>
    <x v="1"/>
    <x v="6"/>
    <s v="XL"/>
    <n v="1"/>
    <n v="6202.99"/>
    <n v="0"/>
    <n v="6201.99"/>
    <n v="6201.99"/>
    <x v="14"/>
    <x v="0"/>
    <x v="2"/>
    <n v="1135.3800000000001"/>
    <x v="0"/>
    <x v="0"/>
    <n v="0.18306704783464664"/>
  </r>
  <r>
    <n v="4183"/>
    <x v="2"/>
    <x v="1"/>
    <x v="8"/>
    <s v="11"/>
    <n v="2"/>
    <n v="6010.71"/>
    <n v="0"/>
    <n v="6009.71"/>
    <n v="12019.42"/>
    <x v="131"/>
    <x v="0"/>
    <x v="1"/>
    <n v="-443.83"/>
    <x v="0"/>
    <x v="1"/>
    <n v="-3.6926074635880934E-2"/>
  </r>
  <r>
    <n v="4185"/>
    <x v="0"/>
    <x v="3"/>
    <x v="18"/>
    <s v="6"/>
    <n v="3"/>
    <n v="7594.7199999999993"/>
    <n v="0"/>
    <n v="7593.7199999999993"/>
    <n v="22781.159999999996"/>
    <x v="23"/>
    <x v="1"/>
    <x v="0"/>
    <n v="2562.0500000000002"/>
    <x v="0"/>
    <x v="1"/>
    <n v="0.11246354443759671"/>
  </r>
  <r>
    <n v="4193"/>
    <x v="1"/>
    <x v="2"/>
    <x v="19"/>
    <s v="XL"/>
    <n v="1"/>
    <n v="5117.8649999999998"/>
    <n v="0"/>
    <n v="5116.8649999999998"/>
    <n v="5116.8649999999998"/>
    <x v="226"/>
    <x v="1"/>
    <x v="2"/>
    <n v="1192.6600000000001"/>
    <x v="0"/>
    <x v="0"/>
    <n v="0.23308412475216761"/>
  </r>
  <r>
    <n v="4201"/>
    <x v="1"/>
    <x v="4"/>
    <x v="9"/>
    <s v="L"/>
    <n v="3"/>
    <n v="7557.71"/>
    <n v="0"/>
    <n v="7556.71"/>
    <n v="22670.13"/>
    <x v="258"/>
    <x v="0"/>
    <x v="5"/>
    <n v="1412.54"/>
    <x v="0"/>
    <x v="1"/>
    <n v="6.2308420816289976E-2"/>
  </r>
  <r>
    <n v="4202"/>
    <x v="2"/>
    <x v="3"/>
    <x v="5"/>
    <s v="L"/>
    <n v="4"/>
    <n v="5873.83"/>
    <n v="0"/>
    <n v="5872.83"/>
    <n v="23491.32"/>
    <x v="293"/>
    <x v="1"/>
    <x v="1"/>
    <n v="299.85000000000002"/>
    <x v="0"/>
    <x v="1"/>
    <n v="1.2764289107636353E-2"/>
  </r>
  <r>
    <n v="4209"/>
    <x v="0"/>
    <x v="4"/>
    <x v="16"/>
    <s v="M"/>
    <n v="1"/>
    <n v="5282.31"/>
    <n v="0"/>
    <n v="5281.31"/>
    <n v="5281.31"/>
    <x v="294"/>
    <x v="1"/>
    <x v="5"/>
    <n v="3222.58"/>
    <x v="0"/>
    <x v="2"/>
    <n v="0.61018573043430502"/>
  </r>
  <r>
    <n v="4212"/>
    <x v="2"/>
    <x v="4"/>
    <x v="9"/>
    <s v="XL"/>
    <n v="3"/>
    <n v="7557.71"/>
    <n v="0.9"/>
    <n v="7557.61"/>
    <n v="22672.829999999998"/>
    <x v="295"/>
    <x v="1"/>
    <x v="5"/>
    <n v="3556.86"/>
    <x v="1"/>
    <x v="2"/>
    <n v="0.15687763724246159"/>
  </r>
  <r>
    <n v="4215"/>
    <x v="2"/>
    <x v="3"/>
    <x v="7"/>
    <s v="XL"/>
    <n v="3"/>
    <n v="5649.73"/>
    <n v="0"/>
    <n v="5648.73"/>
    <n v="16946.189999999999"/>
    <x v="51"/>
    <x v="1"/>
    <x v="5"/>
    <n v="960.82"/>
    <x v="0"/>
    <x v="1"/>
    <n v="5.6698290294160521E-2"/>
  </r>
  <r>
    <n v="4220"/>
    <x v="1"/>
    <x v="1"/>
    <x v="6"/>
    <s v="M"/>
    <n v="2"/>
    <n v="6202.99"/>
    <n v="0.84"/>
    <n v="6202.83"/>
    <n v="12405.66"/>
    <x v="296"/>
    <x v="0"/>
    <x v="4"/>
    <n v="608.16"/>
    <x v="1"/>
    <x v="1"/>
    <n v="4.9022784761149345E-2"/>
  </r>
  <r>
    <n v="4223"/>
    <x v="1"/>
    <x v="0"/>
    <x v="14"/>
    <s v="L"/>
    <n v="1"/>
    <n v="6880.21"/>
    <n v="0.31"/>
    <n v="6879.52"/>
    <n v="6879.52"/>
    <x v="71"/>
    <x v="0"/>
    <x v="3"/>
    <n v="-1152.3699999999999"/>
    <x v="3"/>
    <x v="1"/>
    <n v="-0.16750732609251806"/>
  </r>
  <r>
    <n v="4228"/>
    <x v="1"/>
    <x v="3"/>
    <x v="5"/>
    <s v="L"/>
    <n v="3"/>
    <n v="5873.83"/>
    <n v="0"/>
    <n v="5872.83"/>
    <n v="17618.489999999998"/>
    <x v="297"/>
    <x v="0"/>
    <x v="5"/>
    <n v="-448.12"/>
    <x v="0"/>
    <x v="1"/>
    <n v="-2.5434642809911635E-2"/>
  </r>
  <r>
    <n v="4229"/>
    <x v="1"/>
    <x v="4"/>
    <x v="12"/>
    <s v="XL"/>
    <n v="4"/>
    <n v="5620.64"/>
    <n v="0"/>
    <n v="5619.64"/>
    <n v="22478.560000000001"/>
    <x v="298"/>
    <x v="1"/>
    <x v="1"/>
    <n v="3470.61"/>
    <x v="0"/>
    <x v="1"/>
    <n v="0.15439645600074026"/>
  </r>
  <r>
    <n v="4237"/>
    <x v="2"/>
    <x v="2"/>
    <x v="10"/>
    <s v="L"/>
    <n v="1"/>
    <n v="5355.64"/>
    <n v="0"/>
    <n v="5354.64"/>
    <n v="5354.64"/>
    <x v="197"/>
    <x v="1"/>
    <x v="4"/>
    <n v="572.58000000000004"/>
    <x v="0"/>
    <x v="1"/>
    <n v="0.10693155842409574"/>
  </r>
  <r>
    <n v="4238"/>
    <x v="2"/>
    <x v="0"/>
    <x v="15"/>
    <s v="XL"/>
    <n v="2"/>
    <n v="5940.3850000000002"/>
    <n v="0"/>
    <n v="5939.3850000000002"/>
    <n v="11878.77"/>
    <x v="299"/>
    <x v="1"/>
    <x v="0"/>
    <n v="-321.44"/>
    <x v="0"/>
    <x v="0"/>
    <n v="-2.7060040728122525E-2"/>
  </r>
  <r>
    <n v="4245"/>
    <x v="1"/>
    <x v="2"/>
    <x v="4"/>
    <s v="M"/>
    <n v="3"/>
    <n v="7845.46"/>
    <n v="0.17"/>
    <n v="7844.63"/>
    <n v="23533.89"/>
    <x v="46"/>
    <x v="1"/>
    <x v="4"/>
    <n v="2445.12"/>
    <x v="2"/>
    <x v="0"/>
    <n v="0.10389782564633386"/>
  </r>
  <r>
    <n v="4247"/>
    <x v="1"/>
    <x v="3"/>
    <x v="7"/>
    <s v="M"/>
    <n v="1"/>
    <n v="5649.73"/>
    <n v="0.69"/>
    <n v="5649.4199999999992"/>
    <n v="5649.4199999999992"/>
    <x v="43"/>
    <x v="0"/>
    <x v="5"/>
    <n v="1585.72"/>
    <x v="1"/>
    <x v="1"/>
    <n v="0.28068722098905735"/>
  </r>
  <r>
    <n v="4249"/>
    <x v="1"/>
    <x v="3"/>
    <x v="7"/>
    <s v="L"/>
    <n v="1"/>
    <n v="5649.73"/>
    <n v="0.6"/>
    <n v="5649.33"/>
    <n v="5649.33"/>
    <x v="99"/>
    <x v="0"/>
    <x v="3"/>
    <n v="-855.08"/>
    <x v="1"/>
    <x v="0"/>
    <n v="-0.15135954175096872"/>
  </r>
  <r>
    <n v="4251"/>
    <x v="1"/>
    <x v="2"/>
    <x v="10"/>
    <s v="M"/>
    <n v="1"/>
    <n v="5355.64"/>
    <n v="0.59"/>
    <n v="5355.2300000000005"/>
    <n v="5355.2300000000005"/>
    <x v="300"/>
    <x v="0"/>
    <x v="2"/>
    <n v="354.2"/>
    <x v="1"/>
    <x v="0"/>
    <n v="6.6140950061902098E-2"/>
  </r>
  <r>
    <n v="4256"/>
    <x v="0"/>
    <x v="0"/>
    <x v="0"/>
    <s v="XL"/>
    <n v="4"/>
    <n v="5234.1550000000007"/>
    <n v="0.52"/>
    <n v="5233.6750000000011"/>
    <n v="20934.700000000004"/>
    <x v="206"/>
    <x v="1"/>
    <x v="0"/>
    <n v="-782.15"/>
    <x v="1"/>
    <x v="0"/>
    <n v="-3.736141430256941E-2"/>
  </r>
  <r>
    <n v="4266"/>
    <x v="2"/>
    <x v="1"/>
    <x v="1"/>
    <s v="XL"/>
    <n v="3"/>
    <n v="6216.29"/>
    <n v="0"/>
    <n v="6215.29"/>
    <n v="18645.87"/>
    <x v="279"/>
    <x v="1"/>
    <x v="2"/>
    <n v="-898.11"/>
    <x v="0"/>
    <x v="1"/>
    <n v="-4.8166698577218441E-2"/>
  </r>
  <r>
    <n v="4273"/>
    <x v="1"/>
    <x v="0"/>
    <x v="15"/>
    <s v="7"/>
    <n v="3"/>
    <n v="5940.3850000000002"/>
    <n v="0"/>
    <n v="5939.3850000000002"/>
    <n v="17818.154999999999"/>
    <x v="301"/>
    <x v="0"/>
    <x v="2"/>
    <n v="1161.05"/>
    <x v="0"/>
    <x v="1"/>
    <n v="6.5161067461810718E-2"/>
  </r>
  <r>
    <n v="4276"/>
    <x v="2"/>
    <x v="2"/>
    <x v="19"/>
    <s v="11"/>
    <n v="3"/>
    <n v="5117.8649999999998"/>
    <n v="0"/>
    <n v="5116.8649999999998"/>
    <n v="15350.594999999999"/>
    <x v="302"/>
    <x v="0"/>
    <x v="3"/>
    <n v="-1109.4000000000001"/>
    <x v="0"/>
    <x v="1"/>
    <n v="-7.2270814258339838E-2"/>
  </r>
  <r>
    <n v="4283"/>
    <x v="2"/>
    <x v="3"/>
    <x v="18"/>
    <s v="M"/>
    <n v="1"/>
    <n v="7594.7199999999993"/>
    <n v="0.95"/>
    <n v="7594.6699999999992"/>
    <n v="7594.6699999999992"/>
    <x v="43"/>
    <x v="0"/>
    <x v="3"/>
    <n v="1158.69"/>
    <x v="1"/>
    <x v="1"/>
    <n v="0.15256620761665748"/>
  </r>
  <r>
    <n v="4292"/>
    <x v="2"/>
    <x v="3"/>
    <x v="18"/>
    <s v="L"/>
    <n v="2"/>
    <n v="7594.7199999999993"/>
    <n v="0.23"/>
    <n v="7593.9499999999989"/>
    <n v="15187.899999999998"/>
    <x v="159"/>
    <x v="1"/>
    <x v="4"/>
    <n v="1328.75"/>
    <x v="4"/>
    <x v="0"/>
    <n v="8.7487407739055445E-2"/>
  </r>
  <r>
    <n v="4295"/>
    <x v="0"/>
    <x v="2"/>
    <x v="2"/>
    <s v="10"/>
    <n v="4"/>
    <n v="5981.92"/>
    <n v="0"/>
    <n v="5980.92"/>
    <n v="23923.68"/>
    <x v="87"/>
    <x v="0"/>
    <x v="2"/>
    <n v="-1033.4100000000001"/>
    <x v="0"/>
    <x v="1"/>
    <n v="-4.319611364137959E-2"/>
  </r>
  <r>
    <n v="4311"/>
    <x v="2"/>
    <x v="3"/>
    <x v="5"/>
    <s v="L"/>
    <n v="3"/>
    <n v="5873.83"/>
    <n v="0.46"/>
    <n v="5873.29"/>
    <n v="17619.87"/>
    <x v="303"/>
    <x v="0"/>
    <x v="3"/>
    <n v="2595.5100000000002"/>
    <x v="3"/>
    <x v="2"/>
    <n v="0.14730585412945726"/>
  </r>
  <r>
    <n v="4315"/>
    <x v="0"/>
    <x v="1"/>
    <x v="6"/>
    <s v="M"/>
    <n v="4"/>
    <n v="6202.99"/>
    <n v="0"/>
    <n v="6201.99"/>
    <n v="24807.96"/>
    <x v="304"/>
    <x v="0"/>
    <x v="1"/>
    <n v="3322.21"/>
    <x v="0"/>
    <x v="0"/>
    <n v="0.13391709757674553"/>
  </r>
  <r>
    <n v="2003"/>
    <x v="2"/>
    <x v="1"/>
    <x v="3"/>
    <s v="M"/>
    <n v="3"/>
    <n v="4904.79"/>
    <n v="0.36"/>
    <n v="4904.1499999999996"/>
    <n v="14712.449999999999"/>
    <x v="198"/>
    <x v="0"/>
    <x v="4"/>
    <n v="1884.04"/>
    <x v="3"/>
    <x v="0"/>
    <n v="0.12805752950732205"/>
  </r>
  <r>
    <n v="4330"/>
    <x v="1"/>
    <x v="1"/>
    <x v="8"/>
    <s v="M"/>
    <n v="1"/>
    <n v="6010.71"/>
    <n v="0"/>
    <n v="6009.71"/>
    <n v="6009.71"/>
    <x v="180"/>
    <x v="0"/>
    <x v="3"/>
    <n v="-831.23"/>
    <x v="0"/>
    <x v="1"/>
    <n v="-0.13831449437660054"/>
  </r>
  <r>
    <n v="4358"/>
    <x v="1"/>
    <x v="2"/>
    <x v="10"/>
    <s v="XL"/>
    <n v="2"/>
    <n v="5355.64"/>
    <n v="0.43"/>
    <n v="5355.0700000000006"/>
    <n v="10710.140000000001"/>
    <x v="204"/>
    <x v="1"/>
    <x v="2"/>
    <n v="2538.9699999999998"/>
    <x v="3"/>
    <x v="0"/>
    <n v="0.23706226062404409"/>
  </r>
  <r>
    <n v="4363"/>
    <x v="1"/>
    <x v="2"/>
    <x v="2"/>
    <s v="L"/>
    <n v="2"/>
    <n v="5981.92"/>
    <n v="0.75"/>
    <n v="5981.67"/>
    <n v="11963.34"/>
    <x v="159"/>
    <x v="1"/>
    <x v="4"/>
    <n v="-1071.83"/>
    <x v="1"/>
    <x v="0"/>
    <n v="-8.9592872893355865E-2"/>
  </r>
  <r>
    <n v="4370"/>
    <x v="0"/>
    <x v="4"/>
    <x v="13"/>
    <s v="L"/>
    <n v="2"/>
    <n v="6577.39"/>
    <n v="0.38"/>
    <n v="6576.77"/>
    <n v="13153.54"/>
    <x v="172"/>
    <x v="0"/>
    <x v="2"/>
    <n v="2530.73"/>
    <x v="3"/>
    <x v="0"/>
    <n v="0.19239915642481034"/>
  </r>
  <r>
    <n v="4374"/>
    <x v="0"/>
    <x v="2"/>
    <x v="4"/>
    <s v="XL"/>
    <n v="3"/>
    <n v="7845.46"/>
    <n v="0"/>
    <n v="7844.46"/>
    <n v="23533.38"/>
    <x v="305"/>
    <x v="0"/>
    <x v="1"/>
    <n v="-1129.3800000000001"/>
    <x v="0"/>
    <x v="0"/>
    <n v="-4.7990556392664377E-2"/>
  </r>
  <r>
    <n v="4395"/>
    <x v="1"/>
    <x v="4"/>
    <x v="16"/>
    <s v="M"/>
    <n v="2"/>
    <n v="5282.31"/>
    <n v="0"/>
    <n v="5281.31"/>
    <n v="10562.62"/>
    <x v="182"/>
    <x v="1"/>
    <x v="2"/>
    <n v="3365.61"/>
    <x v="0"/>
    <x v="1"/>
    <n v="0.31863401315203993"/>
  </r>
  <r>
    <n v="4398"/>
    <x v="2"/>
    <x v="0"/>
    <x v="17"/>
    <s v="XL"/>
    <n v="2"/>
    <n v="5178.83"/>
    <n v="0"/>
    <n v="5177.83"/>
    <n v="10355.66"/>
    <x v="306"/>
    <x v="1"/>
    <x v="4"/>
    <n v="1971.9"/>
    <x v="0"/>
    <x v="0"/>
    <n v="0.19041760737606295"/>
  </r>
  <r>
    <n v="4400"/>
    <x v="0"/>
    <x v="1"/>
    <x v="8"/>
    <s v="M"/>
    <n v="4"/>
    <n v="6010.71"/>
    <n v="0.28000000000000003"/>
    <n v="6009.99"/>
    <n v="24039.96"/>
    <x v="31"/>
    <x v="0"/>
    <x v="5"/>
    <n v="1334.4"/>
    <x v="4"/>
    <x v="1"/>
    <n v="5.550757987950064E-2"/>
  </r>
  <r>
    <n v="4412"/>
    <x v="1"/>
    <x v="1"/>
    <x v="3"/>
    <s v="XL"/>
    <n v="1"/>
    <n v="4904.79"/>
    <n v="0"/>
    <n v="4903.79"/>
    <n v="4903.79"/>
    <x v="88"/>
    <x v="1"/>
    <x v="5"/>
    <n v="3452.75"/>
    <x v="0"/>
    <x v="1"/>
    <n v="0.70409825869378584"/>
  </r>
  <r>
    <n v="4423"/>
    <x v="2"/>
    <x v="4"/>
    <x v="12"/>
    <s v="6"/>
    <n v="1"/>
    <n v="5620.64"/>
    <n v="0"/>
    <n v="5619.64"/>
    <n v="5619.64"/>
    <x v="140"/>
    <x v="0"/>
    <x v="1"/>
    <n v="57.84"/>
    <x v="0"/>
    <x v="1"/>
    <n v="1.0292474251019638E-2"/>
  </r>
  <r>
    <n v="4426"/>
    <x v="2"/>
    <x v="1"/>
    <x v="3"/>
    <s v="M"/>
    <n v="1"/>
    <n v="4904.79"/>
    <n v="0"/>
    <n v="4903.79"/>
    <n v="4903.79"/>
    <x v="14"/>
    <x v="1"/>
    <x v="1"/>
    <n v="2133.39"/>
    <x v="0"/>
    <x v="0"/>
    <n v="0.43504921703417149"/>
  </r>
  <r>
    <n v="4429"/>
    <x v="1"/>
    <x v="0"/>
    <x v="17"/>
    <s v="XL"/>
    <n v="2"/>
    <n v="5178.83"/>
    <n v="0.49"/>
    <n v="5178.32"/>
    <n v="10356.64"/>
    <x v="307"/>
    <x v="0"/>
    <x v="5"/>
    <n v="3905.15"/>
    <x v="3"/>
    <x v="1"/>
    <n v="0.37706727278345104"/>
  </r>
  <r>
    <n v="4430"/>
    <x v="1"/>
    <x v="2"/>
    <x v="19"/>
    <s v="L"/>
    <n v="2"/>
    <n v="5117.8649999999998"/>
    <n v="0.15"/>
    <n v="5117.0149999999994"/>
    <n v="10234.029999999999"/>
    <x v="293"/>
    <x v="0"/>
    <x v="3"/>
    <n v="3590.87"/>
    <x v="2"/>
    <x v="1"/>
    <n v="0.35087546157281152"/>
  </r>
  <r>
    <n v="4434"/>
    <x v="2"/>
    <x v="2"/>
    <x v="4"/>
    <s v="L"/>
    <n v="3"/>
    <n v="7845.46"/>
    <n v="0"/>
    <n v="7844.46"/>
    <n v="23533.38"/>
    <x v="45"/>
    <x v="1"/>
    <x v="0"/>
    <n v="-289.83"/>
    <x v="0"/>
    <x v="1"/>
    <n v="-1.231569795753946E-2"/>
  </r>
  <r>
    <n v="4436"/>
    <x v="2"/>
    <x v="3"/>
    <x v="5"/>
    <s v="M"/>
    <n v="4"/>
    <n v="5873.83"/>
    <n v="0"/>
    <n v="5872.83"/>
    <n v="23491.32"/>
    <x v="308"/>
    <x v="1"/>
    <x v="1"/>
    <n v="-818.53"/>
    <x v="0"/>
    <x v="1"/>
    <n v="-3.4843933844500859E-2"/>
  </r>
  <r>
    <n v="4437"/>
    <x v="2"/>
    <x v="2"/>
    <x v="19"/>
    <s v="XL"/>
    <n v="2"/>
    <n v="5117.8649999999998"/>
    <n v="0"/>
    <n v="5116.8649999999998"/>
    <n v="10233.73"/>
    <x v="286"/>
    <x v="0"/>
    <x v="0"/>
    <n v="3972.33"/>
    <x v="0"/>
    <x v="2"/>
    <n v="0.38816052407089108"/>
  </r>
  <r>
    <n v="4441"/>
    <x v="1"/>
    <x v="0"/>
    <x v="17"/>
    <s v="L"/>
    <n v="3"/>
    <n v="5178.83"/>
    <n v="0"/>
    <n v="5177.83"/>
    <n v="15533.49"/>
    <x v="309"/>
    <x v="0"/>
    <x v="5"/>
    <n v="2036.39"/>
    <x v="0"/>
    <x v="0"/>
    <n v="0.13109674644912381"/>
  </r>
  <r>
    <n v="4444"/>
    <x v="2"/>
    <x v="4"/>
    <x v="9"/>
    <s v="7"/>
    <n v="4"/>
    <n v="7557.71"/>
    <n v="0.36"/>
    <n v="7557.07"/>
    <n v="30228.28"/>
    <x v="310"/>
    <x v="1"/>
    <x v="5"/>
    <n v="243.39"/>
    <x v="3"/>
    <x v="0"/>
    <n v="8.0517316896627916E-3"/>
  </r>
  <r>
    <n v="4445"/>
    <x v="0"/>
    <x v="3"/>
    <x v="11"/>
    <s v="XL"/>
    <n v="1"/>
    <n v="6186.9950000000008"/>
    <n v="0.12"/>
    <n v="6186.1150000000007"/>
    <n v="6186.1150000000007"/>
    <x v="311"/>
    <x v="0"/>
    <x v="2"/>
    <n v="3456.95"/>
    <x v="2"/>
    <x v="0"/>
    <n v="0.55882407617705121"/>
  </r>
  <r>
    <n v="4446"/>
    <x v="2"/>
    <x v="0"/>
    <x v="14"/>
    <s v="M"/>
    <n v="2"/>
    <n v="6880.21"/>
    <n v="0.28000000000000003"/>
    <n v="6879.49"/>
    <n v="13758.98"/>
    <x v="312"/>
    <x v="0"/>
    <x v="1"/>
    <n v="2671.58"/>
    <x v="4"/>
    <x v="1"/>
    <n v="0.1941699166653342"/>
  </r>
  <r>
    <n v="2030"/>
    <x v="0"/>
    <x v="2"/>
    <x v="2"/>
    <s v="11"/>
    <n v="2"/>
    <n v="5981.92"/>
    <n v="0"/>
    <n v="5980.92"/>
    <n v="11961.84"/>
    <x v="104"/>
    <x v="0"/>
    <x v="2"/>
    <n v="2717.93"/>
    <x v="0"/>
    <x v="1"/>
    <n v="0.22721671582298375"/>
  </r>
  <r>
    <n v="4452"/>
    <x v="0"/>
    <x v="1"/>
    <x v="3"/>
    <s v="M"/>
    <n v="1"/>
    <n v="4904.79"/>
    <n v="0"/>
    <n v="4903.79"/>
    <n v="4903.79"/>
    <x v="285"/>
    <x v="1"/>
    <x v="3"/>
    <n v="-86.63"/>
    <x v="0"/>
    <x v="1"/>
    <n v="-1.7665927782388725E-2"/>
  </r>
  <r>
    <n v="4453"/>
    <x v="2"/>
    <x v="3"/>
    <x v="7"/>
    <s v="XL"/>
    <n v="1"/>
    <n v="5649.73"/>
    <n v="0"/>
    <n v="5648.73"/>
    <n v="5648.73"/>
    <x v="100"/>
    <x v="0"/>
    <x v="3"/>
    <n v="2814.75"/>
    <x v="0"/>
    <x v="1"/>
    <n v="0.49829784748076122"/>
  </r>
  <r>
    <n v="4456"/>
    <x v="0"/>
    <x v="2"/>
    <x v="19"/>
    <s v="XL"/>
    <n v="1"/>
    <n v="5117.8649999999998"/>
    <n v="0.32"/>
    <n v="5117.1849999999995"/>
    <n v="5117.1849999999995"/>
    <x v="313"/>
    <x v="0"/>
    <x v="0"/>
    <n v="450.51"/>
    <x v="3"/>
    <x v="2"/>
    <n v="8.8038638431090541E-2"/>
  </r>
  <r>
    <n v="4463"/>
    <x v="2"/>
    <x v="0"/>
    <x v="17"/>
    <s v="11"/>
    <n v="3"/>
    <n v="5178.83"/>
    <n v="0.6"/>
    <n v="5178.43"/>
    <n v="15535.29"/>
    <x v="263"/>
    <x v="0"/>
    <x v="1"/>
    <n v="1821.65"/>
    <x v="1"/>
    <x v="1"/>
    <n v="0.11725883456311405"/>
  </r>
  <r>
    <n v="4482"/>
    <x v="1"/>
    <x v="0"/>
    <x v="15"/>
    <s v="L"/>
    <n v="2"/>
    <n v="5940.3850000000002"/>
    <n v="0"/>
    <n v="5939.3850000000002"/>
    <n v="11878.77"/>
    <x v="314"/>
    <x v="1"/>
    <x v="2"/>
    <n v="-742.03"/>
    <x v="0"/>
    <x v="0"/>
    <n v="-6.2466905243556359E-2"/>
  </r>
  <r>
    <n v="4484"/>
    <x v="2"/>
    <x v="2"/>
    <x v="2"/>
    <s v="11"/>
    <n v="3"/>
    <n v="5981.92"/>
    <n v="0.8"/>
    <n v="5981.72"/>
    <n v="17945.16"/>
    <x v="46"/>
    <x v="0"/>
    <x v="0"/>
    <n v="-751.05"/>
    <x v="1"/>
    <x v="0"/>
    <n v="-4.1852510649110955E-2"/>
  </r>
  <r>
    <n v="4488"/>
    <x v="0"/>
    <x v="3"/>
    <x v="7"/>
    <s v="8"/>
    <n v="2"/>
    <n v="5649.73"/>
    <n v="0"/>
    <n v="5648.73"/>
    <n v="11297.46"/>
    <x v="40"/>
    <x v="0"/>
    <x v="1"/>
    <n v="3045.38"/>
    <x v="0"/>
    <x v="0"/>
    <n v="0.26956324695993616"/>
  </r>
  <r>
    <n v="4493"/>
    <x v="0"/>
    <x v="1"/>
    <x v="3"/>
    <s v="XL"/>
    <n v="4"/>
    <n v="4904.79"/>
    <n v="0"/>
    <n v="4903.79"/>
    <n v="19615.16"/>
    <x v="310"/>
    <x v="1"/>
    <x v="2"/>
    <n v="321.24"/>
    <x v="0"/>
    <x v="0"/>
    <n v="1.6377128710650335E-2"/>
  </r>
  <r>
    <n v="4495"/>
    <x v="1"/>
    <x v="2"/>
    <x v="19"/>
    <s v="XL"/>
    <n v="3"/>
    <n v="5117.8649999999998"/>
    <n v="0"/>
    <n v="5116.8649999999998"/>
    <n v="15350.594999999999"/>
    <x v="315"/>
    <x v="1"/>
    <x v="1"/>
    <n v="2.97"/>
    <x v="0"/>
    <x v="1"/>
    <n v="1.934778423898227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2C75C0-4983-419F-8224-E421887B4D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B34:D47" firstHeaderRow="0" firstDataRow="1" firstDataCol="1"/>
  <pivotFields count="21">
    <pivotField showAll="0"/>
    <pivotField showAll="0">
      <items count="4">
        <item x="1"/>
        <item x="2"/>
        <item x="0"/>
        <item t="default"/>
      </items>
    </pivotField>
    <pivotField showAll="0"/>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dataField="1" showAll="0"/>
    <pivotField showAll="0">
      <items count="6">
        <item x="0"/>
        <item x="2"/>
        <item x="4"/>
        <item x="3"/>
        <item x="1"/>
        <item t="default"/>
      </items>
    </pivotField>
    <pivotField showAll="0">
      <items count="4">
        <item x="2"/>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Fields count="1">
    <field x="-2"/>
  </colFields>
  <colItems count="2">
    <i>
      <x/>
    </i>
    <i i="1">
      <x v="1"/>
    </i>
  </colItems>
  <dataFields count="2">
    <dataField name=" Revenue" fld="9" baseField="15" baseItem="1"/>
    <dataField name=" Profit" fld="13" baseField="16" baseItem="1"/>
  </dataFields>
  <formats count="1">
    <format dxfId="30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83BBF-6444-4911-B7D9-8D97E416D7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7" firstHeaderRow="0" firstDataRow="1" firstDataCol="0"/>
  <pivotFields count="21">
    <pivotField showAll="0"/>
    <pivotField showAll="0">
      <items count="4">
        <item x="1"/>
        <item x="2"/>
        <item x="0"/>
        <item t="default"/>
      </items>
    </pivotField>
    <pivotField showAll="0"/>
    <pivotField showAll="0"/>
    <pivotField showAll="0"/>
    <pivotField dataField="1" showAll="0"/>
    <pivotField dataField="1"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dataField="1" showAll="0"/>
    <pivotField showAll="0">
      <items count="6">
        <item x="0"/>
        <item x="2"/>
        <item x="4"/>
        <item x="3"/>
        <item x="1"/>
        <item t="default"/>
      </items>
    </pivotField>
    <pivotField showAll="0">
      <items count="4">
        <item x="2"/>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Sum of MRP" fld="6" baseField="0" baseItem="0"/>
    <dataField name="Sum of Revenue" fld="9" baseField="0" baseItem="0"/>
    <dataField name="Sum of Profit" fld="13" baseField="0" baseItem="0"/>
    <dataField name="Average of Profit_Margin " fld="16" subtotal="average" baseField="0" baseItem="1" numFmtId="9"/>
    <dataField name="Sum of Units_Sold" fld="5" baseField="0" baseItem="0"/>
  </dataFields>
  <formats count="1">
    <format dxfId="30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18356-D0BE-4DE5-86B4-B15445F33C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52:I58" firstHeaderRow="1" firstDataRow="1" firstDataCol="1"/>
  <pivotFields count="21">
    <pivotField showAll="0"/>
    <pivotField showAll="0">
      <items count="4">
        <item x="1"/>
        <item x="2"/>
        <item x="0"/>
        <item t="default"/>
      </items>
    </pivotField>
    <pivotField showAll="0"/>
    <pivotField axis="axisRow" showAll="0" measureFilter="1" sortType="descending">
      <items count="21">
        <item x="8"/>
        <item x="2"/>
        <item x="16"/>
        <item x="3"/>
        <item x="6"/>
        <item x="7"/>
        <item x="12"/>
        <item x="19"/>
        <item x="10"/>
        <item x="14"/>
        <item x="11"/>
        <item x="13"/>
        <item x="15"/>
        <item x="17"/>
        <item x="9"/>
        <item x="5"/>
        <item x="0"/>
        <item x="1"/>
        <item x="4"/>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3"/>
  </rowFields>
  <rowItems count="6">
    <i>
      <x v="13"/>
    </i>
    <i>
      <x v="3"/>
    </i>
    <i>
      <x v="2"/>
    </i>
    <i>
      <x v="6"/>
    </i>
    <i>
      <x v="11"/>
    </i>
    <i t="grand">
      <x/>
    </i>
  </rowItems>
  <colItems count="1">
    <i/>
  </colItems>
  <dataFields count="1">
    <dataField name=" Profit Margin" fld="20" baseField="3" baseItem="13"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C0D3E2-8D59-488F-A811-76CE1CA1F4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count">
  <location ref="P34:R40" firstHeaderRow="0" firstDataRow="1" firstDataCol="1"/>
  <pivotFields count="21">
    <pivotField showAll="0"/>
    <pivotField showAll="0">
      <items count="4">
        <item x="1"/>
        <item x="2"/>
        <item x="0"/>
        <item t="default"/>
      </items>
    </pivotField>
    <pivotField showAll="0"/>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showAll="0"/>
    <pivotField axis="axisRow"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14"/>
  </rowFields>
  <rowItems count="6">
    <i>
      <x/>
    </i>
    <i>
      <x v="1"/>
    </i>
    <i>
      <x v="2"/>
    </i>
    <i>
      <x v="3"/>
    </i>
    <i>
      <x v="4"/>
    </i>
    <i t="grand">
      <x/>
    </i>
  </rowItems>
  <colFields count="1">
    <field x="-2"/>
  </colFields>
  <colItems count="2">
    <i>
      <x/>
    </i>
    <i i="1">
      <x v="1"/>
    </i>
  </colItems>
  <dataFields count="2">
    <dataField name=" Revenue" fld="9" baseField="14" baseItem="0" numFmtId="165"/>
    <dataField name=" Profit Margin" fld="20" baseField="14" baseItem="3" numFmtId="9"/>
  </dataFields>
  <formats count="2">
    <format dxfId="304">
      <pivotArea outline="0" collapsedLevelsAreSubtotals="1" fieldPosition="0">
        <references count="1">
          <reference field="4294967294" count="1" selected="0">
            <x v="0"/>
          </reference>
        </references>
      </pivotArea>
    </format>
    <format dxfId="303">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DACB4B-E42A-4420-A7DA-AAE4849D23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Line">
  <location ref="K52:M58" firstHeaderRow="0" firstDataRow="1" firstDataCol="1"/>
  <pivotFields count="21">
    <pivotField showAll="0"/>
    <pivotField showAll="0">
      <items count="4">
        <item x="1"/>
        <item x="2"/>
        <item x="0"/>
        <item t="default"/>
      </items>
    </pivotField>
    <pivotField axis="axisRow" showAll="0" sortType="descending">
      <items count="6">
        <item x="2"/>
        <item x="1"/>
        <item x="4"/>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2"/>
  </rowFields>
  <rowItems count="6">
    <i>
      <x v="3"/>
    </i>
    <i>
      <x v="2"/>
    </i>
    <i>
      <x v="4"/>
    </i>
    <i>
      <x v="1"/>
    </i>
    <i>
      <x/>
    </i>
    <i t="grand">
      <x/>
    </i>
  </rowItems>
  <colFields count="1">
    <field x="-2"/>
  </colFields>
  <colItems count="2">
    <i>
      <x/>
    </i>
    <i i="1">
      <x v="1"/>
    </i>
  </colItems>
  <dataFields count="2">
    <dataField name=" Revenue" fld="9" showDataAs="percentOfTotal" baseField="2" baseItem="4" numFmtId="10"/>
    <dataField name=" Profit Margin" fld="20" baseField="2" baseItem="2" numFmtId="9"/>
  </dataFields>
  <formats count="3">
    <format dxfId="307">
      <pivotArea outline="0" collapsedLevelsAreSubtotals="1" fieldPosition="0">
        <references count="1">
          <reference field="4294967294" count="1" selected="0">
            <x v="0"/>
          </reference>
        </references>
      </pivotArea>
    </format>
    <format dxfId="306">
      <pivotArea dataOnly="0" labelOnly="1" outline="0" fieldPosition="0">
        <references count="1">
          <reference field="4294967294" count="1">
            <x v="0"/>
          </reference>
        </references>
      </pivotArea>
    </format>
    <format dxfId="30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75F58D-56B5-406B-97A9-BB148FE5CD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ity">
  <location ref="B15:D22" firstHeaderRow="0" firstDataRow="1" firstDataCol="1"/>
  <pivotFields count="21">
    <pivotField showAll="0"/>
    <pivotField showAll="0">
      <items count="4">
        <item x="1"/>
        <item x="2"/>
        <item x="0"/>
        <item t="default"/>
      </items>
    </pivotField>
    <pivotField showAll="0"/>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axis="axisRow" showAll="0" sortType="descending">
      <items count="7">
        <item x="3"/>
        <item x="4"/>
        <item x="0"/>
        <item x="5"/>
        <item x="2"/>
        <item x="1"/>
        <item t="default"/>
      </items>
      <autoSortScope>
        <pivotArea dataOnly="0" outline="0" fieldPosition="0">
          <references count="1">
            <reference field="4294967294" count="1" selected="0">
              <x v="0"/>
            </reference>
          </references>
        </pivotArea>
      </autoSortScope>
    </pivotField>
    <pivotField dataField="1" showAll="0"/>
    <pivotField showAll="0">
      <items count="6">
        <item x="0"/>
        <item x="2"/>
        <item x="4"/>
        <item x="3"/>
        <item x="1"/>
        <item t="default"/>
      </items>
    </pivotField>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2"/>
  </rowFields>
  <rowItems count="7">
    <i>
      <x v="4"/>
    </i>
    <i>
      <x v="5"/>
    </i>
    <i>
      <x v="3"/>
    </i>
    <i>
      <x/>
    </i>
    <i>
      <x v="2"/>
    </i>
    <i>
      <x v="1"/>
    </i>
    <i t="grand">
      <x/>
    </i>
  </rowItems>
  <colFields count="1">
    <field x="-2"/>
  </colFields>
  <colItems count="2">
    <i>
      <x/>
    </i>
    <i i="1">
      <x v="1"/>
    </i>
  </colItems>
  <dataFields count="2">
    <dataField name=" Revenue" fld="9" baseField="12" baseItem="4" numFmtId="164"/>
    <dataField name=" Profit" fld="13" baseField="12" baseItem="4" numFmtId="164"/>
  </dataFields>
  <formats count="4">
    <format dxfId="311">
      <pivotArea outline="0" collapsedLevelsAreSubtotals="1" fieldPosition="0">
        <references count="1">
          <reference field="4294967294" count="1" selected="0">
            <x v="0"/>
          </reference>
        </references>
      </pivotArea>
    </format>
    <format dxfId="310">
      <pivotArea dataOnly="0" labelOnly="1" outline="0" fieldPosition="0">
        <references count="1">
          <reference field="4294967294" count="1">
            <x v="0"/>
          </reference>
        </references>
      </pivotArea>
    </format>
    <format dxfId="309">
      <pivotArea outline="0" collapsedLevelsAreSubtotals="1" fieldPosition="0">
        <references count="1">
          <reference field="4294967294" count="1" selected="0">
            <x v="1"/>
          </reference>
        </references>
      </pivotArea>
    </format>
    <format dxfId="308">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73D53C-FE7C-4038-97EE-62A0C5A7116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Gender">
  <location ref="W46:X50" firstHeaderRow="1" firstDataRow="1" firstDataCol="1"/>
  <pivotFields count="21">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dataField="1"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1"/>
  </rowFields>
  <rowItems count="4">
    <i>
      <x/>
    </i>
    <i>
      <x v="1"/>
    </i>
    <i>
      <x v="2"/>
    </i>
    <i t="grand">
      <x/>
    </i>
  </rowItems>
  <colItems count="1">
    <i/>
  </colItems>
  <dataFields count="1">
    <dataField name=" Profit" fld="13" showDataAs="percentOfTotal" baseField="0" baseItem="0" numFmtId="9"/>
  </dataFields>
  <formats count="3">
    <format dxfId="314">
      <pivotArea dataOnly="0" labelOnly="1" outline="0" axis="axisValues" fieldPosition="0"/>
    </format>
    <format dxfId="313">
      <pivotArea outline="0" collapsedLevelsAreSubtotals="1" fieldPosition="0"/>
    </format>
    <format dxfId="312">
      <pivotArea outline="0" fieldPosition="0">
        <references count="1">
          <reference field="4294967294" count="1">
            <x v="0"/>
          </reference>
        </references>
      </pivotArea>
    </format>
  </formats>
  <chartFormats count="12">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1" count="1" selected="0">
            <x v="2"/>
          </reference>
        </references>
      </pivotArea>
    </chartFormat>
    <chartFormat chart="9" format="22">
      <pivotArea type="data" outline="0" fieldPosition="0">
        <references count="2">
          <reference field="4294967294" count="1" selected="0">
            <x v="0"/>
          </reference>
          <reference field="1" count="1" selected="0">
            <x v="0"/>
          </reference>
        </references>
      </pivotArea>
    </chartFormat>
    <chartFormat chart="9" format="23">
      <pivotArea type="data" outline="0" fieldPosition="0">
        <references count="2">
          <reference field="4294967294" count="1" selected="0">
            <x v="0"/>
          </reference>
          <reference field="1" count="1" selected="0">
            <x v="1"/>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0"/>
          </reference>
        </references>
      </pivotArea>
    </chartFormat>
    <chartFormat chart="15" format="7">
      <pivotArea type="data" outline="0" fieldPosition="0">
        <references count="2">
          <reference field="4294967294" count="1" selected="0">
            <x v="0"/>
          </reference>
          <reference field="1" count="1" selected="0">
            <x v="1"/>
          </reference>
        </references>
      </pivotArea>
    </chartFormat>
    <chartFormat chart="15" format="8">
      <pivotArea type="data" outline="0" fieldPosition="0">
        <references count="2">
          <reference field="4294967294" count="1" selected="0">
            <x v="0"/>
          </reference>
          <reference field="1" count="1" selected="0">
            <x v="2"/>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1"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981876-6171-4769-9D99-BB4B982B1E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B47:AC54" firstHeaderRow="1" firstDataRow="1" firstDataCol="1"/>
  <pivotFields count="21">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axis="axisRow" showAll="0" sortType="descending">
      <items count="7">
        <item x="3"/>
        <item x="4"/>
        <item x="0"/>
        <item x="5"/>
        <item x="2"/>
        <item x="1"/>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12"/>
  </rowFields>
  <rowItems count="7">
    <i>
      <x v="4"/>
    </i>
    <i>
      <x v="2"/>
    </i>
    <i>
      <x/>
    </i>
    <i>
      <x v="3"/>
    </i>
    <i>
      <x v="1"/>
    </i>
    <i>
      <x v="5"/>
    </i>
    <i t="grand">
      <x/>
    </i>
  </rowItems>
  <colItems count="1">
    <i/>
  </colItems>
  <dataFields count="1">
    <dataField name=" Profit Margin" fld="20" baseField="12"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86FDF3-9822-4B68-AC6E-D482019FC31D}"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_Line">
  <location ref="AC15:AE20" firstHeaderRow="0" firstDataRow="1" firstDataCol="1"/>
  <pivotFields count="21">
    <pivotField showAll="0"/>
    <pivotField showAll="0">
      <items count="4">
        <item x="1"/>
        <item x="2"/>
        <item x="0"/>
        <item t="default"/>
      </items>
    </pivotField>
    <pivotField axis="axisRow" showAll="0" sortType="descending">
      <items count="6">
        <item x="2"/>
        <item x="1"/>
        <item x="4"/>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items count="6">
        <item x="0"/>
        <item x="1"/>
        <item x="2"/>
        <item x="3"/>
        <item x="4"/>
        <item x="5"/>
      </items>
    </pivotField>
    <pivotField showAll="0" defaultSubtotal="0">
      <items count="5">
        <item x="0"/>
        <item x="1"/>
        <item x="2"/>
        <item x="3"/>
        <item x="4"/>
      </items>
    </pivotField>
    <pivotField dataField="1" dragToRow="0" dragToCol="0" dragToPage="0" showAll="0" defaultSubtotal="0"/>
  </pivotFields>
  <rowFields count="1">
    <field x="2"/>
  </rowFields>
  <rowItems count="5">
    <i>
      <x v="3"/>
    </i>
    <i>
      <x v="2"/>
    </i>
    <i>
      <x v="4"/>
    </i>
    <i>
      <x v="1"/>
    </i>
    <i>
      <x/>
    </i>
  </rowItems>
  <colFields count="1">
    <field x="-2"/>
  </colFields>
  <colItems count="2">
    <i>
      <x/>
    </i>
    <i i="1">
      <x v="1"/>
    </i>
  </colItems>
  <dataFields count="2">
    <dataField name=" Revenue" fld="9" showDataAs="percentOfTotal" baseField="2" baseItem="4" numFmtId="10"/>
    <dataField name=" Profit Margin" fld="20" baseField="2" baseItem="2" numFmtId="9"/>
  </dataFields>
  <formats count="31">
    <format dxfId="300">
      <pivotArea outline="0" collapsedLevelsAreSubtotals="1" fieldPosition="0">
        <references count="1">
          <reference field="4294967294" count="1" selected="0">
            <x v="0"/>
          </reference>
        </references>
      </pivotArea>
    </format>
    <format dxfId="299">
      <pivotArea dataOnly="0" labelOnly="1" outline="0" fieldPosition="0">
        <references count="1">
          <reference field="4294967294" count="1">
            <x v="0"/>
          </reference>
        </references>
      </pivotArea>
    </format>
    <format dxfId="298">
      <pivotArea type="all" dataOnly="0" outline="0" fieldPosition="0"/>
    </format>
    <format dxfId="297">
      <pivotArea outline="0" collapsedLevelsAreSubtotals="1" fieldPosition="0"/>
    </format>
    <format dxfId="296">
      <pivotArea field="2" type="button" dataOnly="0" labelOnly="1" outline="0" axis="axisRow" fieldPosition="0"/>
    </format>
    <format dxfId="295">
      <pivotArea dataOnly="0" labelOnly="1" fieldPosition="0">
        <references count="1">
          <reference field="2" count="0"/>
        </references>
      </pivotArea>
    </format>
    <format dxfId="294">
      <pivotArea dataOnly="0" labelOnly="1" grandRow="1" outline="0" fieldPosition="0"/>
    </format>
    <format dxfId="293">
      <pivotArea dataOnly="0" labelOnly="1" outline="0" fieldPosition="0">
        <references count="1">
          <reference field="4294967294" count="2">
            <x v="0"/>
            <x v="1"/>
          </reference>
        </references>
      </pivotArea>
    </format>
    <format dxfId="292">
      <pivotArea field="2" type="button" dataOnly="0" labelOnly="1" outline="0" axis="axisRow" fieldPosition="0"/>
    </format>
    <format dxfId="291">
      <pivotArea dataOnly="0" labelOnly="1" outline="0" fieldPosition="0">
        <references count="1">
          <reference field="4294967294" count="2">
            <x v="0"/>
            <x v="1"/>
          </reference>
        </references>
      </pivotArea>
    </format>
    <format dxfId="290">
      <pivotArea field="2" type="button" dataOnly="0" labelOnly="1" outline="0" axis="axisRow" fieldPosition="0"/>
    </format>
    <format dxfId="289">
      <pivotArea dataOnly="0" labelOnly="1" outline="0" fieldPosition="0">
        <references count="1">
          <reference field="4294967294" count="2">
            <x v="0"/>
            <x v="1"/>
          </reference>
        </references>
      </pivotArea>
    </format>
    <format dxfId="288">
      <pivotArea field="2" type="button" dataOnly="0" labelOnly="1" outline="0" axis="axisRow" fieldPosition="0"/>
    </format>
    <format dxfId="287">
      <pivotArea dataOnly="0" labelOnly="1" outline="0" fieldPosition="0">
        <references count="1">
          <reference field="4294967294" count="2">
            <x v="0"/>
            <x v="1"/>
          </reference>
        </references>
      </pivotArea>
    </format>
    <format dxfId="286">
      <pivotArea dataOnly="0" grandRow="1" fieldPosition="0"/>
    </format>
    <format dxfId="285">
      <pivotArea dataOnly="0" grandRow="1" fieldPosition="0"/>
    </format>
    <format dxfId="284">
      <pivotArea dataOnly="0" grandRow="1" fieldPosition="0"/>
    </format>
    <format dxfId="283">
      <pivotArea type="all" dataOnly="0" outline="0" fieldPosition="0"/>
    </format>
    <format dxfId="282">
      <pivotArea outline="0" collapsedLevelsAreSubtotals="1" fieldPosition="0"/>
    </format>
    <format dxfId="281">
      <pivotArea field="2" type="button" dataOnly="0" labelOnly="1" outline="0" axis="axisRow" fieldPosition="0"/>
    </format>
    <format dxfId="280">
      <pivotArea dataOnly="0" labelOnly="1" fieldPosition="0">
        <references count="1">
          <reference field="2" count="0"/>
        </references>
      </pivotArea>
    </format>
    <format dxfId="279">
      <pivotArea dataOnly="0" labelOnly="1" grandRow="1" outline="0" fieldPosition="0"/>
    </format>
    <format dxfId="278">
      <pivotArea dataOnly="0" labelOnly="1" outline="0" fieldPosition="0">
        <references count="1">
          <reference field="4294967294" count="2">
            <x v="0"/>
            <x v="1"/>
          </reference>
        </references>
      </pivotArea>
    </format>
    <format dxfId="277">
      <pivotArea dataOnly="0" grandRow="1" fieldPosition="0"/>
    </format>
    <format dxfId="276">
      <pivotArea outline="0" fieldPosition="0">
        <references count="1">
          <reference field="4294967294" count="1">
            <x v="0"/>
          </reference>
        </references>
      </pivotArea>
    </format>
    <format dxfId="275">
      <pivotArea field="2" type="button" dataOnly="0" labelOnly="1" outline="0" axis="axisRow" fieldPosition="0"/>
    </format>
    <format dxfId="274">
      <pivotArea dataOnly="0" labelOnly="1" outline="0" fieldPosition="0">
        <references count="1">
          <reference field="4294967294" count="2">
            <x v="0"/>
            <x v="1"/>
          </reference>
        </references>
      </pivotArea>
    </format>
    <format dxfId="273">
      <pivotArea grandRow="1" outline="0" collapsedLevelsAreSubtotals="1" fieldPosition="0"/>
    </format>
    <format dxfId="272">
      <pivotArea dataOnly="0" labelOnly="1" grandRow="1" outline="0" fieldPosition="0"/>
    </format>
    <format dxfId="271">
      <pivotArea field="2" type="button" dataOnly="0" labelOnly="1" outline="0" axis="axisRow" fieldPosition="0"/>
    </format>
    <format dxfId="270">
      <pivotArea dataOnly="0" labelOnly="1" outline="0" fieldPosition="0">
        <references count="1">
          <reference field="4294967294" count="2">
            <x v="0"/>
            <x v="1"/>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4536E38-068E-4E92-B845-8C9F8B518309}" autoFormatId="16" applyNumberFormats="0" applyBorderFormats="0" applyFontFormats="0" applyPatternFormats="0" applyAlignmentFormats="0" applyWidthHeightFormats="0">
  <queryTableRefresh nextId="18" unboundColumnsRight="1">
    <queryTableFields count="17">
      <queryTableField id="1" name="Order_ID" tableColumnId="1"/>
      <queryTableField id="2" name="Gender" tableColumnId="2"/>
      <queryTableField id="3" name="Product_Line" tableColumnId="3"/>
      <queryTableField id="4" name="Product_Name" tableColumnId="4"/>
      <queryTableField id="5" name="Size" tableColumnId="5"/>
      <queryTableField id="6" name="Units_Sold" tableColumnId="6"/>
      <queryTableField id="7" name="MRP" tableColumnId="7"/>
      <queryTableField id="8" name="Discount" tableColumnId="8"/>
      <queryTableField id="9" name="Selling_Price" tableColumnId="9"/>
      <queryTableField id="10" name="Revenue" tableColumnId="10"/>
      <queryTableField id="11" name="Order_Date" tableColumnId="11"/>
      <queryTableField id="12" name="Sales_Channel" tableColumnId="12"/>
      <queryTableField id="13" name="Region" tableColumnId="13"/>
      <queryTableField id="14" name="Profit" tableColumnId="14"/>
      <queryTableField id="16" name="Discount_Bucket" tableColumnId="16"/>
      <queryTableField id="17" name="Year" tableColumnId="17"/>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C8950C-0016-47AF-B7B5-693446447B9D}" sourceName="Gender">
  <pivotTables>
    <pivotTable tabId="4" name="PivotTable12"/>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67066739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24C3BA2-6E2E-413D-852C-12284222AE94}" sourceName="Sales_Channel">
  <pivotTables>
    <pivotTable tabId="4" name="PivotTable12"/>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67066739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E4C467-7828-4296-B55C-D25F849A27BA}" sourceName="Region">
  <pivotTables>
    <pivotTable tabId="4" name="PivotTable12"/>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670667392">
      <items count="6">
        <i x="3" s="1"/>
        <i x="4" s="1"/>
        <i x="0" s="1"/>
        <i x="5"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5F4C12-71FE-4816-B7B6-DB677BBE407D}" sourceName="Year">
  <pivotTables>
    <pivotTable tabId="2" name="PivotTable4"/>
    <pivotTable tabId="2" name="PivotTable1"/>
    <pivotTable tabId="2" name="PivotTable2"/>
    <pivotTable tabId="2" name="PivotTable3"/>
    <pivotTable tabId="2" name="PivotTable5"/>
    <pivotTable tabId="2" name="PivotTable6"/>
    <pivotTable tabId="2" name="PivotTable8"/>
    <pivotTable tabId="2" name="PivotTable9"/>
    <pivotTable tabId="4" name="PivotTable12"/>
  </pivotTables>
  <data>
    <tabular pivotCacheId="167066739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ucket" xr10:uid="{B9523C9D-F2F5-4C7D-B73A-CF8555BFF606}" sourceName="Discount_Bucket">
  <pivotTables>
    <pivotTable tabId="4" name="PivotTable12"/>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670667392">
      <items count="5">
        <i x="0" s="1"/>
        <i x="2"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18C2081-E491-43B6-9BDA-8001B7D3930E}" cache="Slicer_Gender" caption="Gender" style="SlicerStyleLight2" rowHeight="247650"/>
  <slicer name="Sales_Channel" xr10:uid="{C2BFCB1F-956B-470D-B6BA-2FEB1524A918}" cache="Slicer_Sales_Channel" caption="Sales_Channel" style="SlicerStyleLight2" rowHeight="247650"/>
  <slicer name="Region" xr10:uid="{12AB7198-5625-4F31-8D8A-858FDC67ECBE}" cache="Slicer_Region" caption="Region" style="SlicerStyleLight2" rowHeight="247650"/>
  <slicer name="Year 1" xr10:uid="{FD1E8666-6D3E-45B4-BFF6-C9C85BD0DAEB}" cache="Slicer_Year" caption="Year" style="SlicerStyleLight2" rowHeight="247650"/>
  <slicer name="Discount_Bucket" xr10:uid="{18A22830-3DB5-4F67-B39F-429C659713A2}" cache="Slicer_Discount_Bucket" caption="Discount_Bucket"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2B13AA-90B0-4771-B350-67FCAA365414}" name="Nike_Sales_Cleaned" displayName="Nike_Sales_Cleaned" ref="A1:Q483" tableType="queryTable" totalsRowShown="0">
  <autoFilter ref="A1:Q483" xr:uid="{2F2B13AA-90B0-4771-B350-67FCAA365414}"/>
  <tableColumns count="17">
    <tableColumn id="1" xr3:uid="{1BDD58A3-E1DD-40FC-872A-A3DF29B49689}" uniqueName="1" name="Order_ID" queryTableFieldId="1"/>
    <tableColumn id="2" xr3:uid="{E8BB0D82-5E65-4607-A7FC-031D629B40CA}" uniqueName="2" name="Gender" queryTableFieldId="2" dataDxfId="322"/>
    <tableColumn id="3" xr3:uid="{D85FCCBA-1D99-4CA8-BBD7-4C2B7144F4A1}" uniqueName="3" name="Product_Line" queryTableFieldId="3" dataDxfId="321"/>
    <tableColumn id="4" xr3:uid="{E813F1F7-D811-4054-BF26-3F1679958A7C}" uniqueName="4" name="Product_Name" queryTableFieldId="4" dataDxfId="320"/>
    <tableColumn id="5" xr3:uid="{00A8BA43-8667-43AC-A633-55146EDAF587}" uniqueName="5" name="Size" queryTableFieldId="5" dataDxfId="319"/>
    <tableColumn id="6" xr3:uid="{0F7EFD31-E95A-4B98-90F1-EE8E84285C98}" uniqueName="6" name="Units_Sold" queryTableFieldId="6"/>
    <tableColumn id="7" xr3:uid="{23ECB3BA-028E-44F5-ABAC-D45A36A69E3D}" uniqueName="7" name="MRP" queryTableFieldId="7"/>
    <tableColumn id="8" xr3:uid="{25918992-C763-47C0-BD71-AD43380200BE}" uniqueName="8" name="Discount" queryTableFieldId="8"/>
    <tableColumn id="9" xr3:uid="{F59854C8-ABE6-4D4F-81B0-FC6F3C82792F}" uniqueName="9" name="Selling_Price" queryTableFieldId="9"/>
    <tableColumn id="10" xr3:uid="{91169CBC-4438-46D4-B54A-EB254B9F8CF7}" uniqueName="10" name="Revenue" queryTableFieldId="10"/>
    <tableColumn id="11" xr3:uid="{BCB84018-0846-467D-A2F5-7187A9344896}" uniqueName="11" name="Order_Date" queryTableFieldId="11" dataDxfId="318"/>
    <tableColumn id="12" xr3:uid="{6D6CE19C-FDD1-45A8-ADD7-487E88EAAF2B}" uniqueName="12" name="Sales_Channel" queryTableFieldId="12" dataDxfId="317"/>
    <tableColumn id="13" xr3:uid="{4E68926B-1B76-4EB8-A2DB-88E115FBC628}" uniqueName="13" name="Region" queryTableFieldId="13" dataDxfId="316"/>
    <tableColumn id="14" xr3:uid="{377194C5-AFA7-4A5A-945F-1AC3973087DC}" uniqueName="14" name="Profit" queryTableFieldId="14"/>
    <tableColumn id="16" xr3:uid="{7243D3E3-FBD6-4067-85C6-427C4122718B}" uniqueName="16" name="Discount_Bucket" queryTableFieldId="16"/>
    <tableColumn id="17" xr3:uid="{12D31C63-5066-4D2E-87CE-4BA75F50F533}" uniqueName="17" name="Year" queryTableFieldId="17"/>
    <tableColumn id="15" xr3:uid="{0A673921-E1B4-4F8F-89BD-6FA41C92317E}" uniqueName="15" name="Profit_Margin " queryTableFieldId="15" dataDxfId="315">
      <calculatedColumnFormula>IF(Nike_Sales_Cleaned[[#This Row],[Revenue]] = 0, 0, Nike_Sales_Cleaned[[#This Row],[Profit]]/Nike_Sales_Cleaned[[#This Row],[Revenue]])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9F7B-0416-40EF-9710-4A16E80BAC7B}">
  <dimension ref="A1:Q530"/>
  <sheetViews>
    <sheetView workbookViewId="0">
      <selection activeCell="R49" sqref="R49"/>
    </sheetView>
  </sheetViews>
  <sheetFormatPr defaultRowHeight="14.4" x14ac:dyDescent="0.3"/>
  <cols>
    <col min="1" max="1" width="10.5546875" bestFit="1" customWidth="1"/>
    <col min="2" max="2" width="9.33203125" bestFit="1" customWidth="1"/>
    <col min="3" max="3" width="14" bestFit="1" customWidth="1"/>
    <col min="4" max="4" width="15.6640625" bestFit="1" customWidth="1"/>
    <col min="5" max="5" width="6.77734375" bestFit="1" customWidth="1"/>
    <col min="6" max="6" width="12.109375" bestFit="1" customWidth="1"/>
    <col min="7" max="7" width="9" bestFit="1" customWidth="1"/>
    <col min="8" max="8" width="10.5546875" bestFit="1" customWidth="1"/>
    <col min="9" max="9" width="14" bestFit="1" customWidth="1"/>
    <col min="10" max="10" width="10.21875" bestFit="1" customWidth="1"/>
    <col min="11" max="11" width="12.6640625" bestFit="1" customWidth="1"/>
    <col min="12" max="12" width="15.44140625" bestFit="1" customWidth="1"/>
    <col min="13" max="13" width="9.77734375" bestFit="1" customWidth="1"/>
    <col min="14" max="14" width="8.6640625" bestFit="1" customWidth="1"/>
    <col min="15" max="15" width="17.21875" bestFit="1" customWidth="1"/>
    <col min="16" max="16" width="6.88671875" bestFit="1" customWidth="1"/>
    <col min="17" max="17" width="14.44140625" bestFit="1" customWidth="1"/>
  </cols>
  <sheetData>
    <row r="1" spans="1:17" x14ac:dyDescent="0.3">
      <c r="A1" t="s">
        <v>0</v>
      </c>
      <c r="B1" t="s">
        <v>59</v>
      </c>
      <c r="C1" t="s">
        <v>1</v>
      </c>
      <c r="D1" t="s">
        <v>2</v>
      </c>
      <c r="E1" t="s">
        <v>3</v>
      </c>
      <c r="F1" t="s">
        <v>4</v>
      </c>
      <c r="G1" t="s">
        <v>54</v>
      </c>
      <c r="H1" t="s">
        <v>58</v>
      </c>
      <c r="I1" t="s">
        <v>60</v>
      </c>
      <c r="J1" t="s">
        <v>5</v>
      </c>
      <c r="K1" t="s">
        <v>6</v>
      </c>
      <c r="L1" t="s">
        <v>7</v>
      </c>
      <c r="M1" t="s">
        <v>8</v>
      </c>
      <c r="N1" t="s">
        <v>9</v>
      </c>
      <c r="O1" t="s">
        <v>73</v>
      </c>
      <c r="P1" t="s">
        <v>99</v>
      </c>
      <c r="Q1" t="s">
        <v>67</v>
      </c>
    </row>
    <row r="2" spans="1:17" x14ac:dyDescent="0.3">
      <c r="A2">
        <v>2001</v>
      </c>
      <c r="B2" t="s">
        <v>15</v>
      </c>
      <c r="C2" t="s">
        <v>16</v>
      </c>
      <c r="D2" t="s">
        <v>17</v>
      </c>
      <c r="E2" t="s">
        <v>13</v>
      </c>
      <c r="F2">
        <v>3</v>
      </c>
      <c r="G2">
        <v>5234.1550000000007</v>
      </c>
      <c r="H2">
        <v>0</v>
      </c>
      <c r="I2">
        <v>5233.1550000000007</v>
      </c>
      <c r="J2">
        <v>15699.465000000002</v>
      </c>
      <c r="K2" s="1">
        <v>45482</v>
      </c>
      <c r="L2" t="s">
        <v>18</v>
      </c>
      <c r="M2" t="s">
        <v>61</v>
      </c>
      <c r="N2">
        <v>-112.53</v>
      </c>
      <c r="O2" t="s">
        <v>74</v>
      </c>
      <c r="P2">
        <v>2024</v>
      </c>
      <c r="Q2">
        <f>IF(Nike_Sales_Cleaned[[#This Row],[Revenue]] = 0, 0, Nike_Sales_Cleaned[[#This Row],[Profit]]/Nike_Sales_Cleaned[[#This Row],[Revenue]])</f>
        <v>-7.1677601752671181E-3</v>
      </c>
    </row>
    <row r="3" spans="1:17" x14ac:dyDescent="0.3">
      <c r="A3">
        <v>2010</v>
      </c>
      <c r="B3" t="s">
        <v>10</v>
      </c>
      <c r="C3" t="s">
        <v>20</v>
      </c>
      <c r="D3" t="s">
        <v>30</v>
      </c>
      <c r="E3" t="s">
        <v>22</v>
      </c>
      <c r="F3">
        <v>1</v>
      </c>
      <c r="G3">
        <v>6216.29</v>
      </c>
      <c r="H3">
        <v>0</v>
      </c>
      <c r="I3">
        <v>6215.29</v>
      </c>
      <c r="J3">
        <v>6215.29</v>
      </c>
      <c r="K3" s="1">
        <v>45673</v>
      </c>
      <c r="L3" t="s">
        <v>14</v>
      </c>
      <c r="M3" t="s">
        <v>62</v>
      </c>
      <c r="N3">
        <v>1965.56</v>
      </c>
      <c r="O3" t="s">
        <v>74</v>
      </c>
      <c r="P3">
        <v>2025</v>
      </c>
      <c r="Q3">
        <f>IF(Nike_Sales_Cleaned[[#This Row],[Revenue]] = 0, 0, Nike_Sales_Cleaned[[#This Row],[Profit]]/Nike_Sales_Cleaned[[#This Row],[Revenue]])</f>
        <v>0.31624590324827961</v>
      </c>
    </row>
    <row r="4" spans="1:17" x14ac:dyDescent="0.3">
      <c r="A4">
        <v>2048</v>
      </c>
      <c r="B4" t="s">
        <v>27</v>
      </c>
      <c r="C4" t="s">
        <v>20</v>
      </c>
      <c r="D4" t="s">
        <v>30</v>
      </c>
      <c r="E4" t="s">
        <v>13</v>
      </c>
      <c r="F4">
        <v>3</v>
      </c>
      <c r="G4">
        <v>6216.29</v>
      </c>
      <c r="H4">
        <v>0.94</v>
      </c>
      <c r="I4">
        <v>6216.23</v>
      </c>
      <c r="J4">
        <v>18648.689999999999</v>
      </c>
      <c r="K4" s="1">
        <v>45549</v>
      </c>
      <c r="L4" t="s">
        <v>14</v>
      </c>
      <c r="M4" t="s">
        <v>63</v>
      </c>
      <c r="N4">
        <v>-642.02</v>
      </c>
      <c r="O4" t="s">
        <v>75</v>
      </c>
      <c r="P4">
        <v>2024</v>
      </c>
      <c r="Q4">
        <f>IF(Nike_Sales_Cleaned[[#This Row],[Revenue]] = 0, 0, Nike_Sales_Cleaned[[#This Row],[Profit]]/Nike_Sales_Cleaned[[#This Row],[Revenue]])</f>
        <v>-3.4427083081975195E-2</v>
      </c>
    </row>
    <row r="5" spans="1:17" x14ac:dyDescent="0.3">
      <c r="A5">
        <v>2060</v>
      </c>
      <c r="B5" t="s">
        <v>27</v>
      </c>
      <c r="C5" t="s">
        <v>20</v>
      </c>
      <c r="D5" t="s">
        <v>30</v>
      </c>
      <c r="E5" t="s">
        <v>22</v>
      </c>
      <c r="F5">
        <v>2</v>
      </c>
      <c r="G5">
        <v>6216.29</v>
      </c>
      <c r="H5">
        <v>0</v>
      </c>
      <c r="I5">
        <v>6215.29</v>
      </c>
      <c r="J5">
        <v>12430.58</v>
      </c>
      <c r="K5" s="1">
        <v>45484</v>
      </c>
      <c r="L5" t="s">
        <v>14</v>
      </c>
      <c r="M5" t="s">
        <v>64</v>
      </c>
      <c r="N5">
        <v>2821.59</v>
      </c>
      <c r="O5" t="s">
        <v>74</v>
      </c>
      <c r="P5">
        <v>2024</v>
      </c>
      <c r="Q5">
        <f>IF(Nike_Sales_Cleaned[[#This Row],[Revenue]] = 0, 0, Nike_Sales_Cleaned[[#This Row],[Profit]]/Nike_Sales_Cleaned[[#This Row],[Revenue]])</f>
        <v>0.22698779944298658</v>
      </c>
    </row>
    <row r="6" spans="1:17" x14ac:dyDescent="0.3">
      <c r="A6">
        <v>2017</v>
      </c>
      <c r="B6" t="s">
        <v>15</v>
      </c>
      <c r="C6" t="s">
        <v>31</v>
      </c>
      <c r="D6" t="s">
        <v>32</v>
      </c>
      <c r="E6" t="s">
        <v>33</v>
      </c>
      <c r="F6">
        <v>4</v>
      </c>
      <c r="G6">
        <v>5981.92</v>
      </c>
      <c r="H6">
        <v>0</v>
      </c>
      <c r="I6">
        <v>5980.92</v>
      </c>
      <c r="J6">
        <v>23923.68</v>
      </c>
      <c r="K6" s="1">
        <v>45733</v>
      </c>
      <c r="L6" t="s">
        <v>18</v>
      </c>
      <c r="M6" t="s">
        <v>65</v>
      </c>
      <c r="N6">
        <v>1946.24</v>
      </c>
      <c r="O6" t="s">
        <v>74</v>
      </c>
      <c r="P6">
        <v>2025</v>
      </c>
      <c r="Q6">
        <f>IF(Nike_Sales_Cleaned[[#This Row],[Revenue]] = 0, 0, Nike_Sales_Cleaned[[#This Row],[Profit]]/Nike_Sales_Cleaned[[#This Row],[Revenue]])</f>
        <v>8.13520327976298E-2</v>
      </c>
    </row>
    <row r="7" spans="1:17" x14ac:dyDescent="0.3">
      <c r="A7">
        <v>2063</v>
      </c>
      <c r="B7" t="s">
        <v>15</v>
      </c>
      <c r="C7" t="s">
        <v>31</v>
      </c>
      <c r="D7" t="s">
        <v>32</v>
      </c>
      <c r="E7" t="s">
        <v>13</v>
      </c>
      <c r="F7">
        <v>1</v>
      </c>
      <c r="G7">
        <v>5981.92</v>
      </c>
      <c r="H7">
        <v>0.16</v>
      </c>
      <c r="I7">
        <v>5981.08</v>
      </c>
      <c r="J7">
        <v>5981.08</v>
      </c>
      <c r="K7" s="1">
        <v>45541</v>
      </c>
      <c r="L7" t="s">
        <v>18</v>
      </c>
      <c r="M7" t="s">
        <v>62</v>
      </c>
      <c r="N7">
        <v>1130.31</v>
      </c>
      <c r="O7" t="s">
        <v>76</v>
      </c>
      <c r="P7">
        <v>2024</v>
      </c>
      <c r="Q7">
        <f>IF(Nike_Sales_Cleaned[[#This Row],[Revenue]] = 0, 0, Nike_Sales_Cleaned[[#This Row],[Profit]]/Nike_Sales_Cleaned[[#This Row],[Revenue]])</f>
        <v>0.18898091983387616</v>
      </c>
    </row>
    <row r="8" spans="1:17" x14ac:dyDescent="0.3">
      <c r="A8">
        <v>2075</v>
      </c>
      <c r="B8" t="s">
        <v>10</v>
      </c>
      <c r="C8" t="s">
        <v>31</v>
      </c>
      <c r="D8" t="s">
        <v>32</v>
      </c>
      <c r="E8" t="s">
        <v>22</v>
      </c>
      <c r="F8">
        <v>4</v>
      </c>
      <c r="G8">
        <v>5981.92</v>
      </c>
      <c r="H8">
        <v>0</v>
      </c>
      <c r="I8">
        <v>5980.92</v>
      </c>
      <c r="J8">
        <v>23923.68</v>
      </c>
      <c r="K8" s="1">
        <v>45852</v>
      </c>
      <c r="L8" t="s">
        <v>14</v>
      </c>
      <c r="M8" t="s">
        <v>62</v>
      </c>
      <c r="N8">
        <v>2345.35</v>
      </c>
      <c r="O8" t="s">
        <v>74</v>
      </c>
      <c r="P8">
        <v>2025</v>
      </c>
      <c r="Q8">
        <f>IF(Nike_Sales_Cleaned[[#This Row],[Revenue]] = 0, 0, Nike_Sales_Cleaned[[#This Row],[Profit]]/Nike_Sales_Cleaned[[#This Row],[Revenue]])</f>
        <v>9.8034666907432302E-2</v>
      </c>
    </row>
    <row r="9" spans="1:17" x14ac:dyDescent="0.3">
      <c r="A9">
        <v>2026</v>
      </c>
      <c r="B9" t="s">
        <v>10</v>
      </c>
      <c r="C9" t="s">
        <v>20</v>
      </c>
      <c r="D9" t="s">
        <v>21</v>
      </c>
      <c r="E9" t="s">
        <v>25</v>
      </c>
      <c r="F9">
        <v>1</v>
      </c>
      <c r="G9">
        <v>4904.79</v>
      </c>
      <c r="H9">
        <v>0.16</v>
      </c>
      <c r="I9">
        <v>4903.95</v>
      </c>
      <c r="J9">
        <v>4903.95</v>
      </c>
      <c r="K9" s="1">
        <v>45514</v>
      </c>
      <c r="L9" t="s">
        <v>18</v>
      </c>
      <c r="M9" t="s">
        <v>66</v>
      </c>
      <c r="N9">
        <v>2301.64</v>
      </c>
      <c r="O9" t="s">
        <v>76</v>
      </c>
      <c r="P9">
        <v>2024</v>
      </c>
      <c r="Q9">
        <f>IF(Nike_Sales_Cleaned[[#This Row],[Revenue]] = 0, 0, Nike_Sales_Cleaned[[#This Row],[Profit]]/Nike_Sales_Cleaned[[#This Row],[Revenue]])</f>
        <v>0.4693441001641534</v>
      </c>
    </row>
    <row r="10" spans="1:17" x14ac:dyDescent="0.3">
      <c r="A10">
        <v>2071</v>
      </c>
      <c r="B10" t="s">
        <v>10</v>
      </c>
      <c r="C10" t="s">
        <v>20</v>
      </c>
      <c r="D10" t="s">
        <v>21</v>
      </c>
      <c r="E10" t="s">
        <v>13</v>
      </c>
      <c r="F10">
        <v>3</v>
      </c>
      <c r="G10">
        <v>4904.79</v>
      </c>
      <c r="H10">
        <v>0.49</v>
      </c>
      <c r="I10">
        <v>4904.28</v>
      </c>
      <c r="J10">
        <v>14712.84</v>
      </c>
      <c r="K10" s="1">
        <v>45669</v>
      </c>
      <c r="L10" t="s">
        <v>18</v>
      </c>
      <c r="M10" t="s">
        <v>62</v>
      </c>
      <c r="N10">
        <v>-882.96</v>
      </c>
      <c r="O10" t="s">
        <v>77</v>
      </c>
      <c r="P10">
        <v>2025</v>
      </c>
      <c r="Q10">
        <f>IF(Nike_Sales_Cleaned[[#This Row],[Revenue]] = 0, 0, Nike_Sales_Cleaned[[#This Row],[Profit]]/Nike_Sales_Cleaned[[#This Row],[Revenue]])</f>
        <v>-6.0012886703043056E-2</v>
      </c>
    </row>
    <row r="11" spans="1:17" x14ac:dyDescent="0.3">
      <c r="A11">
        <v>2073</v>
      </c>
      <c r="B11" t="s">
        <v>15</v>
      </c>
      <c r="C11" t="s">
        <v>20</v>
      </c>
      <c r="D11" t="s">
        <v>21</v>
      </c>
      <c r="E11" t="s">
        <v>40</v>
      </c>
      <c r="F11">
        <v>4</v>
      </c>
      <c r="G11">
        <v>4904.79</v>
      </c>
      <c r="H11">
        <v>0.85</v>
      </c>
      <c r="I11">
        <v>4904.6400000000003</v>
      </c>
      <c r="J11">
        <v>19618.560000000001</v>
      </c>
      <c r="K11" s="1">
        <v>45599</v>
      </c>
      <c r="L11" t="s">
        <v>14</v>
      </c>
      <c r="M11" t="s">
        <v>61</v>
      </c>
      <c r="N11">
        <v>443.86</v>
      </c>
      <c r="O11" t="s">
        <v>75</v>
      </c>
      <c r="P11">
        <v>2024</v>
      </c>
      <c r="Q11">
        <f>IF(Nike_Sales_Cleaned[[#This Row],[Revenue]] = 0, 0, Nike_Sales_Cleaned[[#This Row],[Profit]]/Nike_Sales_Cleaned[[#This Row],[Revenue]])</f>
        <v>2.2624494356364586E-2</v>
      </c>
    </row>
    <row r="12" spans="1:17" x14ac:dyDescent="0.3">
      <c r="A12">
        <v>2002</v>
      </c>
      <c r="B12" t="s">
        <v>15</v>
      </c>
      <c r="C12" t="s">
        <v>31</v>
      </c>
      <c r="D12" t="s">
        <v>39</v>
      </c>
      <c r="E12" t="s">
        <v>25</v>
      </c>
      <c r="F12">
        <v>3</v>
      </c>
      <c r="G12">
        <v>7845.46</v>
      </c>
      <c r="H12">
        <v>0</v>
      </c>
      <c r="I12">
        <v>7844.46</v>
      </c>
      <c r="J12">
        <v>23533.38</v>
      </c>
      <c r="K12" s="1">
        <v>45723</v>
      </c>
      <c r="L12" t="s">
        <v>18</v>
      </c>
      <c r="M12" t="s">
        <v>65</v>
      </c>
      <c r="N12">
        <v>145.08000000000001</v>
      </c>
      <c r="O12" t="s">
        <v>74</v>
      </c>
      <c r="P12">
        <v>2025</v>
      </c>
      <c r="Q12">
        <f>IF(Nike_Sales_Cleaned[[#This Row],[Revenue]] = 0, 0, Nike_Sales_Cleaned[[#This Row],[Profit]]/Nike_Sales_Cleaned[[#This Row],[Revenue]])</f>
        <v>6.1648602963110272E-3</v>
      </c>
    </row>
    <row r="13" spans="1:17" x14ac:dyDescent="0.3">
      <c r="A13">
        <v>2047</v>
      </c>
      <c r="B13" t="s">
        <v>15</v>
      </c>
      <c r="C13" t="s">
        <v>11</v>
      </c>
      <c r="D13" t="s">
        <v>12</v>
      </c>
      <c r="E13" t="s">
        <v>46</v>
      </c>
      <c r="F13">
        <v>1</v>
      </c>
      <c r="G13">
        <v>5873.83</v>
      </c>
      <c r="H13">
        <v>0</v>
      </c>
      <c r="I13">
        <v>5872.83</v>
      </c>
      <c r="J13">
        <v>5872.83</v>
      </c>
      <c r="K13" s="1">
        <v>45456</v>
      </c>
      <c r="L13" t="s">
        <v>18</v>
      </c>
      <c r="M13" t="s">
        <v>64</v>
      </c>
      <c r="N13">
        <v>2888.68</v>
      </c>
      <c r="O13" t="s">
        <v>74</v>
      </c>
      <c r="P13">
        <v>2024</v>
      </c>
      <c r="Q13">
        <f>IF(Nike_Sales_Cleaned[[#This Row],[Revenue]] = 0, 0, Nike_Sales_Cleaned[[#This Row],[Profit]]/Nike_Sales_Cleaned[[#This Row],[Revenue]])</f>
        <v>0.49187189140499554</v>
      </c>
    </row>
    <row r="14" spans="1:17" x14ac:dyDescent="0.3">
      <c r="A14">
        <v>2045</v>
      </c>
      <c r="B14" t="s">
        <v>10</v>
      </c>
      <c r="C14" t="s">
        <v>20</v>
      </c>
      <c r="D14" t="s">
        <v>45</v>
      </c>
      <c r="E14" t="s">
        <v>25</v>
      </c>
      <c r="F14">
        <v>4</v>
      </c>
      <c r="G14">
        <v>6202.99</v>
      </c>
      <c r="H14">
        <v>0</v>
      </c>
      <c r="I14">
        <v>6201.99</v>
      </c>
      <c r="J14">
        <v>24807.96</v>
      </c>
      <c r="K14" s="1">
        <v>45753</v>
      </c>
      <c r="L14" t="s">
        <v>18</v>
      </c>
      <c r="M14" t="s">
        <v>65</v>
      </c>
      <c r="N14">
        <v>1833.94</v>
      </c>
      <c r="O14" t="s">
        <v>74</v>
      </c>
      <c r="P14">
        <v>2025</v>
      </c>
      <c r="Q14">
        <f>IF(Nike_Sales_Cleaned[[#This Row],[Revenue]] = 0, 0, Nike_Sales_Cleaned[[#This Row],[Profit]]/Nike_Sales_Cleaned[[#This Row],[Revenue]])</f>
        <v>7.3925465858538958E-2</v>
      </c>
    </row>
    <row r="15" spans="1:17" x14ac:dyDescent="0.3">
      <c r="A15">
        <v>2052</v>
      </c>
      <c r="B15" t="s">
        <v>27</v>
      </c>
      <c r="C15" t="s">
        <v>11</v>
      </c>
      <c r="D15" t="s">
        <v>26</v>
      </c>
      <c r="E15" t="s">
        <v>46</v>
      </c>
      <c r="F15">
        <v>3</v>
      </c>
      <c r="G15">
        <v>5649.73</v>
      </c>
      <c r="H15">
        <v>0</v>
      </c>
      <c r="I15">
        <v>5648.73</v>
      </c>
      <c r="J15">
        <v>16946.189999999999</v>
      </c>
      <c r="K15" s="1">
        <v>45573</v>
      </c>
      <c r="L15" t="s">
        <v>18</v>
      </c>
      <c r="M15" t="s">
        <v>62</v>
      </c>
      <c r="N15">
        <v>2184.8000000000002</v>
      </c>
      <c r="O15" t="s">
        <v>74</v>
      </c>
      <c r="P15">
        <v>2024</v>
      </c>
      <c r="Q15">
        <f>IF(Nike_Sales_Cleaned[[#This Row],[Revenue]] = 0, 0, Nike_Sales_Cleaned[[#This Row],[Profit]]/Nike_Sales_Cleaned[[#This Row],[Revenue]])</f>
        <v>0.12892573492920831</v>
      </c>
    </row>
    <row r="16" spans="1:17" x14ac:dyDescent="0.3">
      <c r="A16">
        <v>2089</v>
      </c>
      <c r="B16" t="s">
        <v>15</v>
      </c>
      <c r="C16" t="s">
        <v>11</v>
      </c>
      <c r="D16" t="s">
        <v>26</v>
      </c>
      <c r="E16" t="s">
        <v>22</v>
      </c>
      <c r="F16">
        <v>2</v>
      </c>
      <c r="G16">
        <v>5649.73</v>
      </c>
      <c r="H16">
        <v>0.6</v>
      </c>
      <c r="I16">
        <v>5649.33</v>
      </c>
      <c r="J16">
        <v>11298.66</v>
      </c>
      <c r="K16" s="1">
        <v>45628</v>
      </c>
      <c r="L16" t="s">
        <v>14</v>
      </c>
      <c r="M16" t="s">
        <v>63</v>
      </c>
      <c r="N16">
        <v>-1076.6600000000001</v>
      </c>
      <c r="O16" t="s">
        <v>75</v>
      </c>
      <c r="P16">
        <v>2024</v>
      </c>
      <c r="Q16">
        <f>IF(Nike_Sales_Cleaned[[#This Row],[Revenue]] = 0, 0, Nike_Sales_Cleaned[[#This Row],[Profit]]/Nike_Sales_Cleaned[[#This Row],[Revenue]])</f>
        <v>-9.529094600598656E-2</v>
      </c>
    </row>
    <row r="17" spans="1:17" x14ac:dyDescent="0.3">
      <c r="A17">
        <v>2053</v>
      </c>
      <c r="B17" t="s">
        <v>27</v>
      </c>
      <c r="C17" t="s">
        <v>20</v>
      </c>
      <c r="D17" t="s">
        <v>47</v>
      </c>
      <c r="E17" t="s">
        <v>25</v>
      </c>
      <c r="F17">
        <v>3</v>
      </c>
      <c r="G17">
        <v>6010.71</v>
      </c>
      <c r="H17">
        <v>0</v>
      </c>
      <c r="I17">
        <v>6009.71</v>
      </c>
      <c r="J17">
        <v>18029.13</v>
      </c>
      <c r="K17" s="1">
        <v>45567</v>
      </c>
      <c r="L17" t="s">
        <v>14</v>
      </c>
      <c r="M17" t="s">
        <v>65</v>
      </c>
      <c r="N17">
        <v>3384.92</v>
      </c>
      <c r="O17" t="s">
        <v>74</v>
      </c>
      <c r="P17">
        <v>2024</v>
      </c>
      <c r="Q17">
        <f>IF(Nike_Sales_Cleaned[[#This Row],[Revenue]] = 0, 0, Nike_Sales_Cleaned[[#This Row],[Profit]]/Nike_Sales_Cleaned[[#This Row],[Revenue]])</f>
        <v>0.18774727344026029</v>
      </c>
    </row>
    <row r="18" spans="1:17" x14ac:dyDescent="0.3">
      <c r="A18">
        <v>2056</v>
      </c>
      <c r="B18" t="s">
        <v>27</v>
      </c>
      <c r="C18" t="s">
        <v>23</v>
      </c>
      <c r="D18" t="s">
        <v>24</v>
      </c>
      <c r="E18" t="s">
        <v>22</v>
      </c>
      <c r="F18">
        <v>3</v>
      </c>
      <c r="G18">
        <v>7557.71</v>
      </c>
      <c r="H18">
        <v>0</v>
      </c>
      <c r="I18">
        <v>7556.71</v>
      </c>
      <c r="J18">
        <v>22670.13</v>
      </c>
      <c r="K18" s="1">
        <v>45443</v>
      </c>
      <c r="L18" t="s">
        <v>18</v>
      </c>
      <c r="M18" t="s">
        <v>64</v>
      </c>
      <c r="N18">
        <v>-244.44</v>
      </c>
      <c r="O18" t="s">
        <v>74</v>
      </c>
      <c r="P18">
        <v>2024</v>
      </c>
      <c r="Q18">
        <f>IF(Nike_Sales_Cleaned[[#This Row],[Revenue]] = 0, 0, Nike_Sales_Cleaned[[#This Row],[Profit]]/Nike_Sales_Cleaned[[#This Row],[Revenue]])</f>
        <v>-1.0782470149046344E-2</v>
      </c>
    </row>
    <row r="19" spans="1:17" x14ac:dyDescent="0.3">
      <c r="A19">
        <v>2064</v>
      </c>
      <c r="B19" t="s">
        <v>10</v>
      </c>
      <c r="C19" t="s">
        <v>23</v>
      </c>
      <c r="D19" t="s">
        <v>24</v>
      </c>
      <c r="E19" t="s">
        <v>22</v>
      </c>
      <c r="F19">
        <v>2</v>
      </c>
      <c r="G19">
        <v>7557.71</v>
      </c>
      <c r="H19">
        <v>0</v>
      </c>
      <c r="I19">
        <v>7556.71</v>
      </c>
      <c r="J19">
        <v>15113.42</v>
      </c>
      <c r="K19" s="1">
        <v>45718</v>
      </c>
      <c r="L19" t="s">
        <v>14</v>
      </c>
      <c r="M19" t="s">
        <v>64</v>
      </c>
      <c r="N19">
        <v>3277.44</v>
      </c>
      <c r="O19" t="s">
        <v>74</v>
      </c>
      <c r="P19">
        <v>2025</v>
      </c>
      <c r="Q19">
        <f>IF(Nike_Sales_Cleaned[[#This Row],[Revenue]] = 0, 0, Nike_Sales_Cleaned[[#This Row],[Profit]]/Nike_Sales_Cleaned[[#This Row],[Revenue]])</f>
        <v>0.21685627740114416</v>
      </c>
    </row>
    <row r="20" spans="1:17" x14ac:dyDescent="0.3">
      <c r="A20">
        <v>2067</v>
      </c>
      <c r="B20" t="s">
        <v>10</v>
      </c>
      <c r="C20" t="s">
        <v>31</v>
      </c>
      <c r="D20" t="s">
        <v>48</v>
      </c>
      <c r="E20" t="s">
        <v>22</v>
      </c>
      <c r="F20">
        <v>4</v>
      </c>
      <c r="G20">
        <v>5355.64</v>
      </c>
      <c r="H20">
        <v>0</v>
      </c>
      <c r="I20">
        <v>5354.64</v>
      </c>
      <c r="J20">
        <v>21418.560000000001</v>
      </c>
      <c r="K20" s="1">
        <v>45783</v>
      </c>
      <c r="L20" t="s">
        <v>14</v>
      </c>
      <c r="M20" t="s">
        <v>66</v>
      </c>
      <c r="N20">
        <v>161.5</v>
      </c>
      <c r="O20" t="s">
        <v>74</v>
      </c>
      <c r="P20">
        <v>2025</v>
      </c>
      <c r="Q20">
        <f>IF(Nike_Sales_Cleaned[[#This Row],[Revenue]] = 0, 0, Nike_Sales_Cleaned[[#This Row],[Profit]]/Nike_Sales_Cleaned[[#This Row],[Revenue]])</f>
        <v>7.5401894431745171E-3</v>
      </c>
    </row>
    <row r="21" spans="1:17" x14ac:dyDescent="0.3">
      <c r="A21">
        <v>2084</v>
      </c>
      <c r="B21" t="s">
        <v>27</v>
      </c>
      <c r="C21" t="s">
        <v>11</v>
      </c>
      <c r="D21" t="s">
        <v>34</v>
      </c>
      <c r="E21" t="s">
        <v>13</v>
      </c>
      <c r="F21">
        <v>2</v>
      </c>
      <c r="G21">
        <v>6186.9950000000008</v>
      </c>
      <c r="H21">
        <v>0</v>
      </c>
      <c r="I21">
        <v>6185.9950000000008</v>
      </c>
      <c r="J21">
        <v>12371.990000000002</v>
      </c>
      <c r="K21" s="1">
        <v>45284</v>
      </c>
      <c r="L21" t="s">
        <v>14</v>
      </c>
      <c r="M21" t="s">
        <v>63</v>
      </c>
      <c r="N21">
        <v>408.39</v>
      </c>
      <c r="O21" t="s">
        <v>74</v>
      </c>
      <c r="P21">
        <v>2023</v>
      </c>
      <c r="Q21">
        <f>IF(Nike_Sales_Cleaned[[#This Row],[Revenue]] = 0, 0, Nike_Sales_Cleaned[[#This Row],[Profit]]/Nike_Sales_Cleaned[[#This Row],[Revenue]])</f>
        <v>3.3009241035597339E-2</v>
      </c>
    </row>
    <row r="22" spans="1:17" x14ac:dyDescent="0.3">
      <c r="A22">
        <v>2088</v>
      </c>
      <c r="B22" t="s">
        <v>15</v>
      </c>
      <c r="C22" t="s">
        <v>23</v>
      </c>
      <c r="D22" t="s">
        <v>37</v>
      </c>
      <c r="E22" t="s">
        <v>25</v>
      </c>
      <c r="F22">
        <v>4</v>
      </c>
      <c r="G22">
        <v>5620.64</v>
      </c>
      <c r="H22">
        <v>0</v>
      </c>
      <c r="I22">
        <v>5619.64</v>
      </c>
      <c r="J22">
        <v>22478.560000000001</v>
      </c>
      <c r="K22" s="1">
        <v>45773</v>
      </c>
      <c r="L22" t="s">
        <v>14</v>
      </c>
      <c r="M22" t="s">
        <v>64</v>
      </c>
      <c r="N22">
        <v>2702.93</v>
      </c>
      <c r="O22" t="s">
        <v>74</v>
      </c>
      <c r="P22">
        <v>2025</v>
      </c>
      <c r="Q22">
        <f>IF(Nike_Sales_Cleaned[[#This Row],[Revenue]] = 0, 0, Nike_Sales_Cleaned[[#This Row],[Profit]]/Nike_Sales_Cleaned[[#This Row],[Revenue]])</f>
        <v>0.12024480215814534</v>
      </c>
    </row>
    <row r="23" spans="1:17" x14ac:dyDescent="0.3">
      <c r="A23">
        <v>2094</v>
      </c>
      <c r="B23" t="s">
        <v>10</v>
      </c>
      <c r="C23" t="s">
        <v>11</v>
      </c>
      <c r="D23" t="s">
        <v>26</v>
      </c>
      <c r="E23" t="s">
        <v>46</v>
      </c>
      <c r="F23">
        <v>1</v>
      </c>
      <c r="G23">
        <v>5649.73</v>
      </c>
      <c r="H23">
        <v>0</v>
      </c>
      <c r="I23">
        <v>5648.73</v>
      </c>
      <c r="J23">
        <v>5648.73</v>
      </c>
      <c r="K23" s="1">
        <v>45606</v>
      </c>
      <c r="L23" t="s">
        <v>18</v>
      </c>
      <c r="M23" t="s">
        <v>65</v>
      </c>
      <c r="N23">
        <v>2974.58</v>
      </c>
      <c r="O23" t="s">
        <v>74</v>
      </c>
      <c r="P23">
        <v>2024</v>
      </c>
      <c r="Q23">
        <f>IF(Nike_Sales_Cleaned[[#This Row],[Revenue]] = 0, 0, Nike_Sales_Cleaned[[#This Row],[Profit]]/Nike_Sales_Cleaned[[#This Row],[Revenue]])</f>
        <v>0.52659270313858164</v>
      </c>
    </row>
    <row r="24" spans="1:17" x14ac:dyDescent="0.3">
      <c r="A24">
        <v>2096</v>
      </c>
      <c r="B24" t="s">
        <v>27</v>
      </c>
      <c r="C24" t="s">
        <v>23</v>
      </c>
      <c r="D24" t="s">
        <v>43</v>
      </c>
      <c r="E24" t="s">
        <v>25</v>
      </c>
      <c r="F24">
        <v>2</v>
      </c>
      <c r="G24">
        <v>6577.39</v>
      </c>
      <c r="H24">
        <v>0</v>
      </c>
      <c r="I24">
        <v>6576.39</v>
      </c>
      <c r="J24">
        <v>13152.78</v>
      </c>
      <c r="K24" s="1">
        <v>45650</v>
      </c>
      <c r="L24" t="s">
        <v>14</v>
      </c>
      <c r="M24" t="s">
        <v>66</v>
      </c>
      <c r="N24">
        <v>288.66000000000003</v>
      </c>
      <c r="O24" t="s">
        <v>74</v>
      </c>
      <c r="P24">
        <v>2024</v>
      </c>
      <c r="Q24">
        <f>IF(Nike_Sales_Cleaned[[#This Row],[Revenue]] = 0, 0, Nike_Sales_Cleaned[[#This Row],[Profit]]/Nike_Sales_Cleaned[[#This Row],[Revenue]])</f>
        <v>2.19466911177713E-2</v>
      </c>
    </row>
    <row r="25" spans="1:17" x14ac:dyDescent="0.3">
      <c r="A25">
        <v>2099</v>
      </c>
      <c r="B25" t="s">
        <v>10</v>
      </c>
      <c r="C25" t="s">
        <v>16</v>
      </c>
      <c r="D25" t="s">
        <v>29</v>
      </c>
      <c r="E25" t="s">
        <v>13</v>
      </c>
      <c r="F25">
        <v>2</v>
      </c>
      <c r="G25">
        <v>6880.21</v>
      </c>
      <c r="H25">
        <v>0.32</v>
      </c>
      <c r="I25">
        <v>6879.53</v>
      </c>
      <c r="J25">
        <v>13759.06</v>
      </c>
      <c r="K25" s="1">
        <v>45689</v>
      </c>
      <c r="L25" t="s">
        <v>18</v>
      </c>
      <c r="M25" t="s">
        <v>63</v>
      </c>
      <c r="N25">
        <v>360.97</v>
      </c>
      <c r="O25" t="s">
        <v>77</v>
      </c>
      <c r="P25">
        <v>2025</v>
      </c>
      <c r="Q25">
        <f>IF(Nike_Sales_Cleaned[[#This Row],[Revenue]] = 0, 0, Nike_Sales_Cleaned[[#This Row],[Profit]]/Nike_Sales_Cleaned[[#This Row],[Revenue]])</f>
        <v>2.6235077105558086E-2</v>
      </c>
    </row>
    <row r="26" spans="1:17" x14ac:dyDescent="0.3">
      <c r="A26">
        <v>2100</v>
      </c>
      <c r="B26" t="s">
        <v>10</v>
      </c>
      <c r="C26" t="s">
        <v>16</v>
      </c>
      <c r="D26" t="s">
        <v>42</v>
      </c>
      <c r="E26" t="s">
        <v>49</v>
      </c>
      <c r="F26">
        <v>1</v>
      </c>
      <c r="G26">
        <v>5940.3850000000002</v>
      </c>
      <c r="H26">
        <v>0</v>
      </c>
      <c r="I26">
        <v>5939.3850000000002</v>
      </c>
      <c r="J26">
        <v>5939.3850000000002</v>
      </c>
      <c r="K26" s="1">
        <v>45849</v>
      </c>
      <c r="L26" t="s">
        <v>18</v>
      </c>
      <c r="M26" t="s">
        <v>63</v>
      </c>
      <c r="N26">
        <v>2287.5700000000002</v>
      </c>
      <c r="O26" t="s">
        <v>74</v>
      </c>
      <c r="P26">
        <v>2025</v>
      </c>
      <c r="Q26">
        <f>IF(Nike_Sales_Cleaned[[#This Row],[Revenue]] = 0, 0, Nike_Sales_Cleaned[[#This Row],[Profit]]/Nike_Sales_Cleaned[[#This Row],[Revenue]])</f>
        <v>0.38515267153080668</v>
      </c>
    </row>
    <row r="27" spans="1:17" x14ac:dyDescent="0.3">
      <c r="A27">
        <v>2107</v>
      </c>
      <c r="B27" t="s">
        <v>15</v>
      </c>
      <c r="C27" t="s">
        <v>23</v>
      </c>
      <c r="D27" t="s">
        <v>24</v>
      </c>
      <c r="E27" t="s">
        <v>13</v>
      </c>
      <c r="F27">
        <v>4</v>
      </c>
      <c r="G27">
        <v>7557.71</v>
      </c>
      <c r="H27">
        <v>0</v>
      </c>
      <c r="I27">
        <v>7556.71</v>
      </c>
      <c r="J27">
        <v>30226.84</v>
      </c>
      <c r="K27" s="1">
        <v>45534</v>
      </c>
      <c r="L27" t="s">
        <v>14</v>
      </c>
      <c r="M27" t="s">
        <v>61</v>
      </c>
      <c r="N27">
        <v>-184.69</v>
      </c>
      <c r="O27" t="s">
        <v>74</v>
      </c>
      <c r="P27">
        <v>2024</v>
      </c>
      <c r="Q27">
        <f>IF(Nike_Sales_Cleaned[[#This Row],[Revenue]] = 0, 0, Nike_Sales_Cleaned[[#This Row],[Profit]]/Nike_Sales_Cleaned[[#This Row],[Revenue]])</f>
        <v>-6.1101325841536862E-3</v>
      </c>
    </row>
    <row r="28" spans="1:17" x14ac:dyDescent="0.3">
      <c r="A28">
        <v>2110</v>
      </c>
      <c r="B28" t="s">
        <v>10</v>
      </c>
      <c r="C28" t="s">
        <v>23</v>
      </c>
      <c r="D28" t="s">
        <v>35</v>
      </c>
      <c r="E28" t="s">
        <v>40</v>
      </c>
      <c r="F28">
        <v>1</v>
      </c>
      <c r="G28">
        <v>5282.31</v>
      </c>
      <c r="H28">
        <v>0.42</v>
      </c>
      <c r="I28">
        <v>5281.7300000000005</v>
      </c>
      <c r="J28">
        <v>5281.7300000000005</v>
      </c>
      <c r="K28" s="1">
        <v>45651</v>
      </c>
      <c r="L28" t="s">
        <v>18</v>
      </c>
      <c r="M28" t="s">
        <v>62</v>
      </c>
      <c r="N28">
        <v>-259.29000000000002</v>
      </c>
      <c r="O28" t="s">
        <v>77</v>
      </c>
      <c r="P28">
        <v>2024</v>
      </c>
      <c r="Q28">
        <f>IF(Nike_Sales_Cleaned[[#This Row],[Revenue]] = 0, 0, Nike_Sales_Cleaned[[#This Row],[Profit]]/Nike_Sales_Cleaned[[#This Row],[Revenue]])</f>
        <v>-4.9091869520024686E-2</v>
      </c>
    </row>
    <row r="29" spans="1:17" x14ac:dyDescent="0.3">
      <c r="A29">
        <v>2118</v>
      </c>
      <c r="B29" t="s">
        <v>10</v>
      </c>
      <c r="C29" t="s">
        <v>31</v>
      </c>
      <c r="D29" t="s">
        <v>39</v>
      </c>
      <c r="E29" t="s">
        <v>25</v>
      </c>
      <c r="F29">
        <v>2</v>
      </c>
      <c r="G29">
        <v>7845.46</v>
      </c>
      <c r="H29">
        <v>0</v>
      </c>
      <c r="I29">
        <v>7844.46</v>
      </c>
      <c r="J29">
        <v>15688.92</v>
      </c>
      <c r="K29" s="1">
        <v>45190</v>
      </c>
      <c r="L29" t="s">
        <v>14</v>
      </c>
      <c r="M29" t="s">
        <v>61</v>
      </c>
      <c r="N29">
        <v>2696.85</v>
      </c>
      <c r="O29" t="s">
        <v>74</v>
      </c>
      <c r="P29">
        <v>2023</v>
      </c>
      <c r="Q29">
        <f>IF(Nike_Sales_Cleaned[[#This Row],[Revenue]] = 0, 0, Nike_Sales_Cleaned[[#This Row],[Profit]]/Nike_Sales_Cleaned[[#This Row],[Revenue]])</f>
        <v>0.1718951973749627</v>
      </c>
    </row>
    <row r="30" spans="1:17" x14ac:dyDescent="0.3">
      <c r="A30">
        <v>2130</v>
      </c>
      <c r="B30" t="s">
        <v>27</v>
      </c>
      <c r="C30" t="s">
        <v>16</v>
      </c>
      <c r="D30" t="s">
        <v>19</v>
      </c>
      <c r="E30" t="s">
        <v>46</v>
      </c>
      <c r="F30">
        <v>3</v>
      </c>
      <c r="G30">
        <v>5178.83</v>
      </c>
      <c r="H30">
        <v>0.24</v>
      </c>
      <c r="I30">
        <v>5178.07</v>
      </c>
      <c r="J30">
        <v>15534.21</v>
      </c>
      <c r="K30" s="1">
        <v>45549</v>
      </c>
      <c r="L30" t="s">
        <v>14</v>
      </c>
      <c r="M30" t="s">
        <v>64</v>
      </c>
      <c r="N30">
        <v>2962.75</v>
      </c>
      <c r="O30" t="s">
        <v>78</v>
      </c>
      <c r="P30">
        <v>2024</v>
      </c>
      <c r="Q30">
        <f>IF(Nike_Sales_Cleaned[[#This Row],[Revenue]] = 0, 0, Nike_Sales_Cleaned[[#This Row],[Profit]]/Nike_Sales_Cleaned[[#This Row],[Revenue]])</f>
        <v>0.19072421449175725</v>
      </c>
    </row>
    <row r="31" spans="1:17" x14ac:dyDescent="0.3">
      <c r="A31">
        <v>2135</v>
      </c>
      <c r="B31" t="s">
        <v>27</v>
      </c>
      <c r="C31" t="s">
        <v>31</v>
      </c>
      <c r="D31" t="s">
        <v>39</v>
      </c>
      <c r="E31" t="s">
        <v>22</v>
      </c>
      <c r="F31">
        <v>2</v>
      </c>
      <c r="G31">
        <v>7845.46</v>
      </c>
      <c r="H31">
        <v>0.74</v>
      </c>
      <c r="I31">
        <v>7845.2</v>
      </c>
      <c r="J31">
        <v>15690.4</v>
      </c>
      <c r="K31" s="1">
        <v>45599</v>
      </c>
      <c r="L31" t="s">
        <v>18</v>
      </c>
      <c r="M31" t="s">
        <v>61</v>
      </c>
      <c r="N31">
        <v>2422.38</v>
      </c>
      <c r="O31" t="s">
        <v>75</v>
      </c>
      <c r="P31">
        <v>2024</v>
      </c>
      <c r="Q31">
        <f>IF(Nike_Sales_Cleaned[[#This Row],[Revenue]] = 0, 0, Nike_Sales_Cleaned[[#This Row],[Profit]]/Nike_Sales_Cleaned[[#This Row],[Revenue]])</f>
        <v>0.15438612145005864</v>
      </c>
    </row>
    <row r="32" spans="1:17" x14ac:dyDescent="0.3">
      <c r="A32">
        <v>2136</v>
      </c>
      <c r="B32" t="s">
        <v>10</v>
      </c>
      <c r="C32" t="s">
        <v>11</v>
      </c>
      <c r="D32" t="s">
        <v>41</v>
      </c>
      <c r="E32" t="s">
        <v>22</v>
      </c>
      <c r="F32">
        <v>1</v>
      </c>
      <c r="G32">
        <v>7594.7199999999993</v>
      </c>
      <c r="H32">
        <v>0</v>
      </c>
      <c r="I32">
        <v>7593.7199999999993</v>
      </c>
      <c r="J32">
        <v>7593.7199999999993</v>
      </c>
      <c r="K32" s="1">
        <v>45550</v>
      </c>
      <c r="L32" t="s">
        <v>14</v>
      </c>
      <c r="M32" t="s">
        <v>62</v>
      </c>
      <c r="N32">
        <v>3672.24</v>
      </c>
      <c r="O32" t="s">
        <v>74</v>
      </c>
      <c r="P32">
        <v>2024</v>
      </c>
      <c r="Q32">
        <f>IF(Nike_Sales_Cleaned[[#This Row],[Revenue]] = 0, 0, Nike_Sales_Cleaned[[#This Row],[Profit]]/Nike_Sales_Cleaned[[#This Row],[Revenue]])</f>
        <v>0.48358907096916925</v>
      </c>
    </row>
    <row r="33" spans="1:17" x14ac:dyDescent="0.3">
      <c r="A33">
        <v>2138</v>
      </c>
      <c r="B33" t="s">
        <v>27</v>
      </c>
      <c r="C33" t="s">
        <v>23</v>
      </c>
      <c r="D33" t="s">
        <v>43</v>
      </c>
      <c r="E33" t="s">
        <v>28</v>
      </c>
      <c r="F33">
        <v>2</v>
      </c>
      <c r="G33">
        <v>6577.39</v>
      </c>
      <c r="H33">
        <v>0</v>
      </c>
      <c r="I33">
        <v>6576.39</v>
      </c>
      <c r="J33">
        <v>13152.78</v>
      </c>
      <c r="K33" s="1">
        <v>45822</v>
      </c>
      <c r="L33" t="s">
        <v>14</v>
      </c>
      <c r="M33" t="s">
        <v>63</v>
      </c>
      <c r="N33">
        <v>1840.09</v>
      </c>
      <c r="O33" t="s">
        <v>74</v>
      </c>
      <c r="P33">
        <v>2025</v>
      </c>
      <c r="Q33">
        <f>IF(Nike_Sales_Cleaned[[#This Row],[Revenue]] = 0, 0, Nike_Sales_Cleaned[[#This Row],[Profit]]/Nike_Sales_Cleaned[[#This Row],[Revenue]])</f>
        <v>0.13990122240317254</v>
      </c>
    </row>
    <row r="34" spans="1:17" x14ac:dyDescent="0.3">
      <c r="A34">
        <v>2150</v>
      </c>
      <c r="B34" t="s">
        <v>15</v>
      </c>
      <c r="C34" t="s">
        <v>31</v>
      </c>
      <c r="D34" t="s">
        <v>48</v>
      </c>
      <c r="E34" t="s">
        <v>13</v>
      </c>
      <c r="F34">
        <v>2</v>
      </c>
      <c r="G34">
        <v>5355.64</v>
      </c>
      <c r="H34">
        <v>0.48</v>
      </c>
      <c r="I34">
        <v>5355.12</v>
      </c>
      <c r="J34">
        <v>10710.24</v>
      </c>
      <c r="K34" s="1">
        <v>45844</v>
      </c>
      <c r="L34" t="s">
        <v>14</v>
      </c>
      <c r="M34" t="s">
        <v>64</v>
      </c>
      <c r="N34">
        <v>3221.62</v>
      </c>
      <c r="O34" t="s">
        <v>77</v>
      </c>
      <c r="P34">
        <v>2025</v>
      </c>
      <c r="Q34">
        <f>IF(Nike_Sales_Cleaned[[#This Row],[Revenue]] = 0, 0, Nike_Sales_Cleaned[[#This Row],[Profit]]/Nike_Sales_Cleaned[[#This Row],[Revenue]])</f>
        <v>0.30079811470144457</v>
      </c>
    </row>
    <row r="35" spans="1:17" x14ac:dyDescent="0.3">
      <c r="A35">
        <v>2151</v>
      </c>
      <c r="B35" t="s">
        <v>10</v>
      </c>
      <c r="C35" t="s">
        <v>16</v>
      </c>
      <c r="D35" t="s">
        <v>17</v>
      </c>
      <c r="E35" t="s">
        <v>22</v>
      </c>
      <c r="F35">
        <v>4</v>
      </c>
      <c r="G35">
        <v>5234.1550000000007</v>
      </c>
      <c r="H35">
        <v>0</v>
      </c>
      <c r="I35">
        <v>5233.1550000000007</v>
      </c>
      <c r="J35">
        <v>20932.620000000003</v>
      </c>
      <c r="K35" s="1">
        <v>45804</v>
      </c>
      <c r="L35" t="s">
        <v>14</v>
      </c>
      <c r="M35" t="s">
        <v>64</v>
      </c>
      <c r="N35">
        <v>2000.85</v>
      </c>
      <c r="O35" t="s">
        <v>74</v>
      </c>
      <c r="P35">
        <v>2025</v>
      </c>
      <c r="Q35">
        <f>IF(Nike_Sales_Cleaned[[#This Row],[Revenue]] = 0, 0, Nike_Sales_Cleaned[[#This Row],[Profit]]/Nike_Sales_Cleaned[[#This Row],[Revenue]])</f>
        <v>9.5585263574268275E-2</v>
      </c>
    </row>
    <row r="36" spans="1:17" x14ac:dyDescent="0.3">
      <c r="A36">
        <v>2165</v>
      </c>
      <c r="B36" t="s">
        <v>10</v>
      </c>
      <c r="C36" t="s">
        <v>11</v>
      </c>
      <c r="D36" t="s">
        <v>12</v>
      </c>
      <c r="E36" t="s">
        <v>22</v>
      </c>
      <c r="F36">
        <v>4</v>
      </c>
      <c r="G36">
        <v>5873.83</v>
      </c>
      <c r="H36">
        <v>0</v>
      </c>
      <c r="I36">
        <v>5872.83</v>
      </c>
      <c r="J36">
        <v>23491.32</v>
      </c>
      <c r="K36" s="1">
        <v>45607</v>
      </c>
      <c r="L36" t="s">
        <v>18</v>
      </c>
      <c r="M36" t="s">
        <v>66</v>
      </c>
      <c r="N36">
        <v>2460.19</v>
      </c>
      <c r="O36" t="s">
        <v>74</v>
      </c>
      <c r="P36">
        <v>2024</v>
      </c>
      <c r="Q36">
        <f>IF(Nike_Sales_Cleaned[[#This Row],[Revenue]] = 0, 0, Nike_Sales_Cleaned[[#This Row],[Profit]]/Nike_Sales_Cleaned[[#This Row],[Revenue]])</f>
        <v>0.10472761854165709</v>
      </c>
    </row>
    <row r="37" spans="1:17" x14ac:dyDescent="0.3">
      <c r="A37">
        <v>2179</v>
      </c>
      <c r="B37" t="s">
        <v>15</v>
      </c>
      <c r="C37" t="s">
        <v>11</v>
      </c>
      <c r="D37" t="s">
        <v>41</v>
      </c>
      <c r="E37" t="s">
        <v>13</v>
      </c>
      <c r="F37">
        <v>3</v>
      </c>
      <c r="G37">
        <v>7594.7199999999993</v>
      </c>
      <c r="H37">
        <v>0</v>
      </c>
      <c r="I37">
        <v>7593.7199999999993</v>
      </c>
      <c r="J37">
        <v>22781.159999999996</v>
      </c>
      <c r="K37" s="1">
        <v>45317</v>
      </c>
      <c r="L37" t="s">
        <v>18</v>
      </c>
      <c r="M37" t="s">
        <v>62</v>
      </c>
      <c r="N37">
        <v>3135.92</v>
      </c>
      <c r="O37" t="s">
        <v>74</v>
      </c>
      <c r="P37">
        <v>2024</v>
      </c>
      <c r="Q37">
        <f>IF(Nike_Sales_Cleaned[[#This Row],[Revenue]] = 0, 0, Nike_Sales_Cleaned[[#This Row],[Profit]]/Nike_Sales_Cleaned[[#This Row],[Revenue]])</f>
        <v>0.13765409663072473</v>
      </c>
    </row>
    <row r="38" spans="1:17" x14ac:dyDescent="0.3">
      <c r="A38">
        <v>2181</v>
      </c>
      <c r="B38" t="s">
        <v>15</v>
      </c>
      <c r="C38" t="s">
        <v>20</v>
      </c>
      <c r="D38" t="s">
        <v>47</v>
      </c>
      <c r="E38" t="s">
        <v>25</v>
      </c>
      <c r="F38">
        <v>2</v>
      </c>
      <c r="G38">
        <v>6010.71</v>
      </c>
      <c r="H38">
        <v>0</v>
      </c>
      <c r="I38">
        <v>6009.71</v>
      </c>
      <c r="J38">
        <v>12019.42</v>
      </c>
      <c r="K38" s="1">
        <v>45663</v>
      </c>
      <c r="L38" t="s">
        <v>18</v>
      </c>
      <c r="M38" t="s">
        <v>65</v>
      </c>
      <c r="N38">
        <v>419.58</v>
      </c>
      <c r="O38" t="s">
        <v>74</v>
      </c>
      <c r="P38">
        <v>2025</v>
      </c>
      <c r="Q38">
        <f>IF(Nike_Sales_Cleaned[[#This Row],[Revenue]] = 0, 0, Nike_Sales_Cleaned[[#This Row],[Profit]]/Nike_Sales_Cleaned[[#This Row],[Revenue]])</f>
        <v>3.4908506400475228E-2</v>
      </c>
    </row>
    <row r="39" spans="1:17" x14ac:dyDescent="0.3">
      <c r="A39">
        <v>2185</v>
      </c>
      <c r="B39" t="s">
        <v>15</v>
      </c>
      <c r="C39" t="s">
        <v>11</v>
      </c>
      <c r="D39" t="s">
        <v>41</v>
      </c>
      <c r="E39" t="s">
        <v>25</v>
      </c>
      <c r="F39">
        <v>4</v>
      </c>
      <c r="G39">
        <v>7594.7199999999993</v>
      </c>
      <c r="H39">
        <v>0.59</v>
      </c>
      <c r="I39">
        <v>7594.3099999999995</v>
      </c>
      <c r="J39">
        <v>30377.239999999998</v>
      </c>
      <c r="K39" s="1">
        <v>45816</v>
      </c>
      <c r="L39" t="s">
        <v>14</v>
      </c>
      <c r="M39" t="s">
        <v>66</v>
      </c>
      <c r="N39">
        <v>-615.48</v>
      </c>
      <c r="O39" t="s">
        <v>75</v>
      </c>
      <c r="P39">
        <v>2025</v>
      </c>
      <c r="Q39">
        <f>IF(Nike_Sales_Cleaned[[#This Row],[Revenue]] = 0, 0, Nike_Sales_Cleaned[[#This Row],[Profit]]/Nike_Sales_Cleaned[[#This Row],[Revenue]])</f>
        <v>-2.0261221888492834E-2</v>
      </c>
    </row>
    <row r="40" spans="1:17" x14ac:dyDescent="0.3">
      <c r="A40">
        <v>2189</v>
      </c>
      <c r="B40" t="s">
        <v>27</v>
      </c>
      <c r="C40" t="s">
        <v>11</v>
      </c>
      <c r="D40" t="s">
        <v>12</v>
      </c>
      <c r="E40" t="s">
        <v>22</v>
      </c>
      <c r="F40">
        <v>3</v>
      </c>
      <c r="G40">
        <v>5873.83</v>
      </c>
      <c r="H40">
        <v>0.9</v>
      </c>
      <c r="I40">
        <v>5873.73</v>
      </c>
      <c r="J40">
        <v>17621.189999999999</v>
      </c>
      <c r="K40" s="1">
        <v>45567</v>
      </c>
      <c r="L40" t="s">
        <v>14</v>
      </c>
      <c r="M40" t="s">
        <v>61</v>
      </c>
      <c r="N40">
        <v>3628.46</v>
      </c>
      <c r="O40" t="s">
        <v>75</v>
      </c>
      <c r="P40">
        <v>2024</v>
      </c>
      <c r="Q40">
        <f>IF(Nike_Sales_Cleaned[[#This Row],[Revenue]] = 0, 0, Nike_Sales_Cleaned[[#This Row],[Profit]]/Nike_Sales_Cleaned[[#This Row],[Revenue]])</f>
        <v>0.20591458352131725</v>
      </c>
    </row>
    <row r="41" spans="1:17" x14ac:dyDescent="0.3">
      <c r="A41">
        <v>2191</v>
      </c>
      <c r="B41" t="s">
        <v>27</v>
      </c>
      <c r="C41" t="s">
        <v>20</v>
      </c>
      <c r="D41" t="s">
        <v>47</v>
      </c>
      <c r="E41" t="s">
        <v>49</v>
      </c>
      <c r="F41">
        <v>3</v>
      </c>
      <c r="G41">
        <v>6010.71</v>
      </c>
      <c r="H41">
        <v>0</v>
      </c>
      <c r="I41">
        <v>6009.71</v>
      </c>
      <c r="J41">
        <v>18029.13</v>
      </c>
      <c r="K41" s="1">
        <v>45563</v>
      </c>
      <c r="L41" t="s">
        <v>18</v>
      </c>
      <c r="M41" t="s">
        <v>62</v>
      </c>
      <c r="N41">
        <v>-1032.8800000000001</v>
      </c>
      <c r="O41" t="s">
        <v>74</v>
      </c>
      <c r="P41">
        <v>2024</v>
      </c>
      <c r="Q41">
        <f>IF(Nike_Sales_Cleaned[[#This Row],[Revenue]] = 0, 0, Nike_Sales_Cleaned[[#This Row],[Profit]]/Nike_Sales_Cleaned[[#This Row],[Revenue]])</f>
        <v>-5.7289508700641686E-2</v>
      </c>
    </row>
    <row r="42" spans="1:17" x14ac:dyDescent="0.3">
      <c r="A42">
        <v>2196</v>
      </c>
      <c r="B42" t="s">
        <v>10</v>
      </c>
      <c r="C42" t="s">
        <v>16</v>
      </c>
      <c r="D42" t="s">
        <v>19</v>
      </c>
      <c r="E42" t="s">
        <v>22</v>
      </c>
      <c r="F42">
        <v>2</v>
      </c>
      <c r="G42">
        <v>5178.83</v>
      </c>
      <c r="H42">
        <v>0</v>
      </c>
      <c r="I42">
        <v>5177.83</v>
      </c>
      <c r="J42">
        <v>10355.66</v>
      </c>
      <c r="K42" s="1">
        <v>45838</v>
      </c>
      <c r="L42" t="s">
        <v>14</v>
      </c>
      <c r="M42" t="s">
        <v>65</v>
      </c>
      <c r="N42">
        <v>925.63</v>
      </c>
      <c r="O42" t="s">
        <v>74</v>
      </c>
      <c r="P42">
        <v>2025</v>
      </c>
      <c r="Q42">
        <f>IF(Nike_Sales_Cleaned[[#This Row],[Revenue]] = 0, 0, Nike_Sales_Cleaned[[#This Row],[Profit]]/Nike_Sales_Cleaned[[#This Row],[Revenue]])</f>
        <v>8.9383969732494115E-2</v>
      </c>
    </row>
    <row r="43" spans="1:17" x14ac:dyDescent="0.3">
      <c r="A43">
        <v>2197</v>
      </c>
      <c r="B43" t="s">
        <v>10</v>
      </c>
      <c r="C43" t="s">
        <v>11</v>
      </c>
      <c r="D43" t="s">
        <v>41</v>
      </c>
      <c r="E43" t="s">
        <v>22</v>
      </c>
      <c r="F43">
        <v>3</v>
      </c>
      <c r="G43">
        <v>7594.7199999999993</v>
      </c>
      <c r="H43">
        <v>0</v>
      </c>
      <c r="I43">
        <v>7593.7199999999993</v>
      </c>
      <c r="J43">
        <v>22781.159999999996</v>
      </c>
      <c r="K43" s="1">
        <v>45571</v>
      </c>
      <c r="L43" t="s">
        <v>14</v>
      </c>
      <c r="M43" t="s">
        <v>64</v>
      </c>
      <c r="N43">
        <v>-418.5</v>
      </c>
      <c r="O43" t="s">
        <v>74</v>
      </c>
      <c r="P43">
        <v>2024</v>
      </c>
      <c r="Q43">
        <f>IF(Nike_Sales_Cleaned[[#This Row],[Revenue]] = 0, 0, Nike_Sales_Cleaned[[#This Row],[Profit]]/Nike_Sales_Cleaned[[#This Row],[Revenue]])</f>
        <v>-1.8370442944959785E-2</v>
      </c>
    </row>
    <row r="44" spans="1:17" x14ac:dyDescent="0.3">
      <c r="A44">
        <v>2198</v>
      </c>
      <c r="B44" t="s">
        <v>27</v>
      </c>
      <c r="C44" t="s">
        <v>11</v>
      </c>
      <c r="D44" t="s">
        <v>12</v>
      </c>
      <c r="E44" t="s">
        <v>44</v>
      </c>
      <c r="F44">
        <v>4</v>
      </c>
      <c r="G44">
        <v>5873.83</v>
      </c>
      <c r="H44">
        <v>0.65</v>
      </c>
      <c r="I44">
        <v>5873.48</v>
      </c>
      <c r="J44">
        <v>23493.919999999998</v>
      </c>
      <c r="K44" s="1">
        <v>45662</v>
      </c>
      <c r="L44" t="s">
        <v>14</v>
      </c>
      <c r="M44" t="s">
        <v>62</v>
      </c>
      <c r="N44">
        <v>-169.33</v>
      </c>
      <c r="O44" t="s">
        <v>75</v>
      </c>
      <c r="P44">
        <v>2025</v>
      </c>
      <c r="Q44">
        <f>IF(Nike_Sales_Cleaned[[#This Row],[Revenue]] = 0, 0, Nike_Sales_Cleaned[[#This Row],[Profit]]/Nike_Sales_Cleaned[[#This Row],[Revenue]])</f>
        <v>-7.2073966370873833E-3</v>
      </c>
    </row>
    <row r="45" spans="1:17" x14ac:dyDescent="0.3">
      <c r="A45">
        <v>2215</v>
      </c>
      <c r="B45" t="s">
        <v>27</v>
      </c>
      <c r="C45" t="s">
        <v>31</v>
      </c>
      <c r="D45" t="s">
        <v>39</v>
      </c>
      <c r="E45" t="s">
        <v>25</v>
      </c>
      <c r="F45">
        <v>3</v>
      </c>
      <c r="G45">
        <v>7845.46</v>
      </c>
      <c r="H45">
        <v>0.36</v>
      </c>
      <c r="I45">
        <v>7844.82</v>
      </c>
      <c r="J45">
        <v>23534.46</v>
      </c>
      <c r="K45" s="1">
        <v>45642</v>
      </c>
      <c r="L45" t="s">
        <v>14</v>
      </c>
      <c r="M45" t="s">
        <v>66</v>
      </c>
      <c r="N45">
        <v>3254.06</v>
      </c>
      <c r="O45" t="s">
        <v>77</v>
      </c>
      <c r="P45">
        <v>2024</v>
      </c>
      <c r="Q45">
        <f>IF(Nike_Sales_Cleaned[[#This Row],[Revenue]] = 0, 0, Nike_Sales_Cleaned[[#This Row],[Profit]]/Nike_Sales_Cleaned[[#This Row],[Revenue]])</f>
        <v>0.13826788462535364</v>
      </c>
    </row>
    <row r="46" spans="1:17" x14ac:dyDescent="0.3">
      <c r="A46">
        <v>2221</v>
      </c>
      <c r="B46" t="s">
        <v>10</v>
      </c>
      <c r="C46" t="s">
        <v>20</v>
      </c>
      <c r="D46" t="s">
        <v>30</v>
      </c>
      <c r="E46" t="s">
        <v>22</v>
      </c>
      <c r="F46">
        <v>2</v>
      </c>
      <c r="G46">
        <v>6216.29</v>
      </c>
      <c r="H46">
        <v>0</v>
      </c>
      <c r="I46">
        <v>6215.29</v>
      </c>
      <c r="J46">
        <v>12430.58</v>
      </c>
      <c r="K46" s="1">
        <v>45297</v>
      </c>
      <c r="L46" t="s">
        <v>18</v>
      </c>
      <c r="M46" t="s">
        <v>63</v>
      </c>
      <c r="N46">
        <v>-297.05</v>
      </c>
      <c r="O46" t="s">
        <v>74</v>
      </c>
      <c r="P46">
        <v>2024</v>
      </c>
      <c r="Q46">
        <f>IF(Nike_Sales_Cleaned[[#This Row],[Revenue]] = 0, 0, Nike_Sales_Cleaned[[#This Row],[Profit]]/Nike_Sales_Cleaned[[#This Row],[Revenue]])</f>
        <v>-2.3896712784117879E-2</v>
      </c>
    </row>
    <row r="47" spans="1:17" x14ac:dyDescent="0.3">
      <c r="A47">
        <v>2222</v>
      </c>
      <c r="B47" t="s">
        <v>27</v>
      </c>
      <c r="C47" t="s">
        <v>11</v>
      </c>
      <c r="D47" t="s">
        <v>41</v>
      </c>
      <c r="E47" t="s">
        <v>25</v>
      </c>
      <c r="F47">
        <v>2</v>
      </c>
      <c r="G47">
        <v>7594.7199999999993</v>
      </c>
      <c r="H47">
        <v>0.11</v>
      </c>
      <c r="I47">
        <v>7593.829999999999</v>
      </c>
      <c r="J47">
        <v>15187.659999999998</v>
      </c>
      <c r="K47" s="1">
        <v>45647</v>
      </c>
      <c r="L47" t="s">
        <v>18</v>
      </c>
      <c r="M47" t="s">
        <v>63</v>
      </c>
      <c r="N47">
        <v>2821.69</v>
      </c>
      <c r="O47" t="s">
        <v>76</v>
      </c>
      <c r="P47">
        <v>2024</v>
      </c>
      <c r="Q47">
        <f>IF(Nike_Sales_Cleaned[[#This Row],[Revenue]] = 0, 0, Nike_Sales_Cleaned[[#This Row],[Profit]]/Nike_Sales_Cleaned[[#This Row],[Revenue]])</f>
        <v>0.18578833078960158</v>
      </c>
    </row>
    <row r="48" spans="1:17" x14ac:dyDescent="0.3">
      <c r="A48">
        <v>2042</v>
      </c>
      <c r="B48" t="s">
        <v>27</v>
      </c>
      <c r="C48" t="s">
        <v>31</v>
      </c>
      <c r="D48" t="s">
        <v>38</v>
      </c>
      <c r="E48" t="s">
        <v>46</v>
      </c>
      <c r="F48">
        <v>1</v>
      </c>
      <c r="G48">
        <v>5117.8649999999998</v>
      </c>
      <c r="H48">
        <v>0</v>
      </c>
      <c r="I48">
        <v>5116.8649999999998</v>
      </c>
      <c r="J48">
        <v>5116.8649999999998</v>
      </c>
      <c r="K48" s="1">
        <v>45714</v>
      </c>
      <c r="L48" t="s">
        <v>18</v>
      </c>
      <c r="M48" t="s">
        <v>64</v>
      </c>
      <c r="N48">
        <v>2459.63</v>
      </c>
      <c r="O48" t="s">
        <v>74</v>
      </c>
      <c r="P48">
        <v>2025</v>
      </c>
      <c r="Q48">
        <f>IF(Nike_Sales_Cleaned[[#This Row],[Revenue]] = 0, 0, Nike_Sales_Cleaned[[#This Row],[Profit]]/Nike_Sales_Cleaned[[#This Row],[Revenue]])</f>
        <v>0.4806908136134137</v>
      </c>
    </row>
    <row r="49" spans="1:17" x14ac:dyDescent="0.3">
      <c r="A49">
        <v>2248</v>
      </c>
      <c r="B49" t="s">
        <v>27</v>
      </c>
      <c r="C49" t="s">
        <v>11</v>
      </c>
      <c r="D49" t="s">
        <v>34</v>
      </c>
      <c r="E49" t="s">
        <v>13</v>
      </c>
      <c r="F49">
        <v>4</v>
      </c>
      <c r="G49">
        <v>6186.9950000000008</v>
      </c>
      <c r="H49">
        <v>0.24</v>
      </c>
      <c r="I49">
        <v>6186.2350000000006</v>
      </c>
      <c r="J49">
        <v>24744.940000000002</v>
      </c>
      <c r="K49" s="1">
        <v>45307</v>
      </c>
      <c r="L49" t="s">
        <v>14</v>
      </c>
      <c r="M49" t="s">
        <v>64</v>
      </c>
      <c r="N49">
        <v>1625.14</v>
      </c>
      <c r="O49" t="s">
        <v>78</v>
      </c>
      <c r="P49">
        <v>2024</v>
      </c>
      <c r="Q49">
        <f>IF(Nike_Sales_Cleaned[[#This Row],[Revenue]] = 0, 0, Nike_Sales_Cleaned[[#This Row],[Profit]]/Nike_Sales_Cleaned[[#This Row],[Revenue]])</f>
        <v>6.5675649243845405E-2</v>
      </c>
    </row>
    <row r="50" spans="1:17" x14ac:dyDescent="0.3">
      <c r="A50">
        <v>2257</v>
      </c>
      <c r="B50" t="s">
        <v>27</v>
      </c>
      <c r="C50" t="s">
        <v>31</v>
      </c>
      <c r="D50" t="s">
        <v>38</v>
      </c>
      <c r="E50" t="s">
        <v>25</v>
      </c>
      <c r="F50">
        <v>1</v>
      </c>
      <c r="G50">
        <v>5117.8649999999998</v>
      </c>
      <c r="H50">
        <v>0</v>
      </c>
      <c r="I50">
        <v>5116.8649999999998</v>
      </c>
      <c r="J50">
        <v>5116.8649999999998</v>
      </c>
      <c r="K50" s="1">
        <v>45697</v>
      </c>
      <c r="L50" t="s">
        <v>14</v>
      </c>
      <c r="M50" t="s">
        <v>63</v>
      </c>
      <c r="N50">
        <v>-365.42</v>
      </c>
      <c r="O50" t="s">
        <v>74</v>
      </c>
      <c r="P50">
        <v>2025</v>
      </c>
      <c r="Q50">
        <f>IF(Nike_Sales_Cleaned[[#This Row],[Revenue]] = 0, 0, Nike_Sales_Cleaned[[#This Row],[Profit]]/Nike_Sales_Cleaned[[#This Row],[Revenue]])</f>
        <v>-7.1414821379887888E-2</v>
      </c>
    </row>
    <row r="51" spans="1:17" x14ac:dyDescent="0.3">
      <c r="A51">
        <v>2260</v>
      </c>
      <c r="B51" t="s">
        <v>15</v>
      </c>
      <c r="C51" t="s">
        <v>20</v>
      </c>
      <c r="D51" t="s">
        <v>45</v>
      </c>
      <c r="E51" t="s">
        <v>13</v>
      </c>
      <c r="F51">
        <v>2</v>
      </c>
      <c r="G51">
        <v>6202.99</v>
      </c>
      <c r="H51">
        <v>0</v>
      </c>
      <c r="I51">
        <v>6201.99</v>
      </c>
      <c r="J51">
        <v>12403.98</v>
      </c>
      <c r="K51" s="1">
        <v>45638</v>
      </c>
      <c r="L51" t="s">
        <v>18</v>
      </c>
      <c r="M51" t="s">
        <v>62</v>
      </c>
      <c r="N51">
        <v>-352.18</v>
      </c>
      <c r="O51" t="s">
        <v>74</v>
      </c>
      <c r="P51">
        <v>2024</v>
      </c>
      <c r="Q51">
        <f>IF(Nike_Sales_Cleaned[[#This Row],[Revenue]] = 0, 0, Nike_Sales_Cleaned[[#This Row],[Profit]]/Nike_Sales_Cleaned[[#This Row],[Revenue]])</f>
        <v>-2.8392499826668537E-2</v>
      </c>
    </row>
    <row r="52" spans="1:17" x14ac:dyDescent="0.3">
      <c r="A52">
        <v>2268</v>
      </c>
      <c r="B52" t="s">
        <v>27</v>
      </c>
      <c r="C52" t="s">
        <v>16</v>
      </c>
      <c r="D52" t="s">
        <v>29</v>
      </c>
      <c r="E52" t="s">
        <v>13</v>
      </c>
      <c r="F52">
        <v>3</v>
      </c>
      <c r="G52">
        <v>6880.21</v>
      </c>
      <c r="H52">
        <v>0</v>
      </c>
      <c r="I52">
        <v>6879.21</v>
      </c>
      <c r="J52">
        <v>20637.63</v>
      </c>
      <c r="K52" s="1">
        <v>45246</v>
      </c>
      <c r="L52" t="s">
        <v>14</v>
      </c>
      <c r="M52" t="s">
        <v>66</v>
      </c>
      <c r="N52">
        <v>518.71</v>
      </c>
      <c r="O52" t="s">
        <v>74</v>
      </c>
      <c r="P52">
        <v>2023</v>
      </c>
      <c r="Q52">
        <f>IF(Nike_Sales_Cleaned[[#This Row],[Revenue]] = 0, 0, Nike_Sales_Cleaned[[#This Row],[Profit]]/Nike_Sales_Cleaned[[#This Row],[Revenue]])</f>
        <v>2.5134184496960164E-2</v>
      </c>
    </row>
    <row r="53" spans="1:17" x14ac:dyDescent="0.3">
      <c r="A53">
        <v>2269</v>
      </c>
      <c r="B53" t="s">
        <v>15</v>
      </c>
      <c r="C53" t="s">
        <v>11</v>
      </c>
      <c r="D53" t="s">
        <v>41</v>
      </c>
      <c r="E53" t="s">
        <v>28</v>
      </c>
      <c r="F53">
        <v>4</v>
      </c>
      <c r="G53">
        <v>7594.7199999999993</v>
      </c>
      <c r="H53">
        <v>0</v>
      </c>
      <c r="I53">
        <v>7593.7199999999993</v>
      </c>
      <c r="J53">
        <v>30374.879999999997</v>
      </c>
      <c r="K53" s="1">
        <v>45487</v>
      </c>
      <c r="L53" t="s">
        <v>18</v>
      </c>
      <c r="M53" t="s">
        <v>63</v>
      </c>
      <c r="N53">
        <v>-405.26</v>
      </c>
      <c r="O53" t="s">
        <v>74</v>
      </c>
      <c r="P53">
        <v>2024</v>
      </c>
      <c r="Q53">
        <f>IF(Nike_Sales_Cleaned[[#This Row],[Revenue]] = 0, 0, Nike_Sales_Cleaned[[#This Row],[Profit]]/Nike_Sales_Cleaned[[#This Row],[Revenue]])</f>
        <v>-1.3341945713036563E-2</v>
      </c>
    </row>
    <row r="54" spans="1:17" x14ac:dyDescent="0.3">
      <c r="A54">
        <v>2038</v>
      </c>
      <c r="B54" t="s">
        <v>15</v>
      </c>
      <c r="C54" t="s">
        <v>11</v>
      </c>
      <c r="D54" t="s">
        <v>41</v>
      </c>
      <c r="E54" t="s">
        <v>25</v>
      </c>
      <c r="F54">
        <v>1</v>
      </c>
      <c r="G54">
        <v>7594.7199999999993</v>
      </c>
      <c r="H54">
        <v>0</v>
      </c>
      <c r="I54">
        <v>7593.7199999999993</v>
      </c>
      <c r="J54">
        <v>7593.7199999999993</v>
      </c>
      <c r="K54" s="1">
        <v>45586</v>
      </c>
      <c r="L54" t="s">
        <v>18</v>
      </c>
      <c r="M54" t="s">
        <v>65</v>
      </c>
      <c r="N54">
        <v>3680.24</v>
      </c>
      <c r="O54" t="s">
        <v>74</v>
      </c>
      <c r="P54">
        <v>2024</v>
      </c>
      <c r="Q54">
        <f>IF(Nike_Sales_Cleaned[[#This Row],[Revenue]] = 0, 0, Nike_Sales_Cleaned[[#This Row],[Profit]]/Nike_Sales_Cleaned[[#This Row],[Revenue]])</f>
        <v>0.48464257307353975</v>
      </c>
    </row>
    <row r="55" spans="1:17" x14ac:dyDescent="0.3">
      <c r="A55">
        <v>2274</v>
      </c>
      <c r="B55" t="s">
        <v>15</v>
      </c>
      <c r="C55" t="s">
        <v>11</v>
      </c>
      <c r="D55" t="s">
        <v>34</v>
      </c>
      <c r="E55" t="s">
        <v>36</v>
      </c>
      <c r="F55">
        <v>4</v>
      </c>
      <c r="G55">
        <v>6186.9950000000008</v>
      </c>
      <c r="H55">
        <v>0.45</v>
      </c>
      <c r="I55">
        <v>6186.4450000000006</v>
      </c>
      <c r="J55">
        <v>24745.780000000002</v>
      </c>
      <c r="K55" s="1">
        <v>45821</v>
      </c>
      <c r="L55" t="s">
        <v>14</v>
      </c>
      <c r="M55" t="s">
        <v>64</v>
      </c>
      <c r="N55">
        <v>2561.89</v>
      </c>
      <c r="O55" t="s">
        <v>77</v>
      </c>
      <c r="P55">
        <v>2025</v>
      </c>
      <c r="Q55">
        <f>IF(Nike_Sales_Cleaned[[#This Row],[Revenue]] = 0, 0, Nike_Sales_Cleaned[[#This Row],[Profit]]/Nike_Sales_Cleaned[[#This Row],[Revenue]])</f>
        <v>0.10352835917881754</v>
      </c>
    </row>
    <row r="56" spans="1:17" x14ac:dyDescent="0.3">
      <c r="A56">
        <v>2281</v>
      </c>
      <c r="B56" t="s">
        <v>10</v>
      </c>
      <c r="C56" t="s">
        <v>20</v>
      </c>
      <c r="D56" t="s">
        <v>30</v>
      </c>
      <c r="E56" t="s">
        <v>13</v>
      </c>
      <c r="F56">
        <v>2</v>
      </c>
      <c r="G56">
        <v>6216.29</v>
      </c>
      <c r="H56">
        <v>0</v>
      </c>
      <c r="I56">
        <v>6215.29</v>
      </c>
      <c r="J56">
        <v>12430.58</v>
      </c>
      <c r="K56" s="1">
        <v>45851</v>
      </c>
      <c r="L56" t="s">
        <v>18</v>
      </c>
      <c r="M56" t="s">
        <v>66</v>
      </c>
      <c r="N56">
        <v>1753.48</v>
      </c>
      <c r="O56" t="s">
        <v>74</v>
      </c>
      <c r="P56">
        <v>2025</v>
      </c>
      <c r="Q56">
        <f>IF(Nike_Sales_Cleaned[[#This Row],[Revenue]] = 0, 0, Nike_Sales_Cleaned[[#This Row],[Profit]]/Nike_Sales_Cleaned[[#This Row],[Revenue]])</f>
        <v>0.14106180081701739</v>
      </c>
    </row>
    <row r="57" spans="1:17" x14ac:dyDescent="0.3">
      <c r="A57">
        <v>2283</v>
      </c>
      <c r="B57" t="s">
        <v>27</v>
      </c>
      <c r="C57" t="s">
        <v>16</v>
      </c>
      <c r="D57" t="s">
        <v>29</v>
      </c>
      <c r="E57" t="s">
        <v>46</v>
      </c>
      <c r="F57">
        <v>1</v>
      </c>
      <c r="G57">
        <v>6880.21</v>
      </c>
      <c r="H57">
        <v>0</v>
      </c>
      <c r="I57">
        <v>6879.21</v>
      </c>
      <c r="J57">
        <v>6879.21</v>
      </c>
      <c r="K57" s="1">
        <v>45525</v>
      </c>
      <c r="L57" t="s">
        <v>18</v>
      </c>
      <c r="M57" t="s">
        <v>65</v>
      </c>
      <c r="N57">
        <v>468.59</v>
      </c>
      <c r="O57" t="s">
        <v>74</v>
      </c>
      <c r="P57">
        <v>2024</v>
      </c>
      <c r="Q57">
        <f>IF(Nike_Sales_Cleaned[[#This Row],[Revenue]] = 0, 0, Nike_Sales_Cleaned[[#This Row],[Profit]]/Nike_Sales_Cleaned[[#This Row],[Revenue]])</f>
        <v>6.8116833182880004E-2</v>
      </c>
    </row>
    <row r="58" spans="1:17" x14ac:dyDescent="0.3">
      <c r="A58">
        <v>2293</v>
      </c>
      <c r="B58" t="s">
        <v>15</v>
      </c>
      <c r="C58" t="s">
        <v>31</v>
      </c>
      <c r="D58" t="s">
        <v>32</v>
      </c>
      <c r="E58" t="s">
        <v>25</v>
      </c>
      <c r="F58">
        <v>3</v>
      </c>
      <c r="G58">
        <v>5981.92</v>
      </c>
      <c r="H58">
        <v>0</v>
      </c>
      <c r="I58">
        <v>5980.92</v>
      </c>
      <c r="J58">
        <v>17942.760000000002</v>
      </c>
      <c r="K58" s="1">
        <v>45790</v>
      </c>
      <c r="L58" t="s">
        <v>18</v>
      </c>
      <c r="M58" t="s">
        <v>63</v>
      </c>
      <c r="N58">
        <v>2525.87</v>
      </c>
      <c r="O58" t="s">
        <v>74</v>
      </c>
      <c r="P58">
        <v>2025</v>
      </c>
      <c r="Q58">
        <f>IF(Nike_Sales_Cleaned[[#This Row],[Revenue]] = 0, 0, Nike_Sales_Cleaned[[#This Row],[Profit]]/Nike_Sales_Cleaned[[#This Row],[Revenue]])</f>
        <v>0.14077377170513342</v>
      </c>
    </row>
    <row r="59" spans="1:17" x14ac:dyDescent="0.3">
      <c r="A59">
        <v>2300</v>
      </c>
      <c r="B59" t="s">
        <v>27</v>
      </c>
      <c r="C59" t="s">
        <v>31</v>
      </c>
      <c r="D59" t="s">
        <v>32</v>
      </c>
      <c r="E59" t="s">
        <v>22</v>
      </c>
      <c r="F59">
        <v>3</v>
      </c>
      <c r="G59">
        <v>5981.92</v>
      </c>
      <c r="H59">
        <v>0.78</v>
      </c>
      <c r="I59">
        <v>5981.7</v>
      </c>
      <c r="J59">
        <v>17945.099999999999</v>
      </c>
      <c r="K59" s="1">
        <v>45521</v>
      </c>
      <c r="L59" t="s">
        <v>18</v>
      </c>
      <c r="M59" t="s">
        <v>65</v>
      </c>
      <c r="N59">
        <v>3380.28</v>
      </c>
      <c r="O59" t="s">
        <v>75</v>
      </c>
      <c r="P59">
        <v>2024</v>
      </c>
      <c r="Q59">
        <f>IF(Nike_Sales_Cleaned[[#This Row],[Revenue]] = 0, 0, Nike_Sales_Cleaned[[#This Row],[Profit]]/Nike_Sales_Cleaned[[#This Row],[Revenue]])</f>
        <v>0.18836785529197389</v>
      </c>
    </row>
    <row r="60" spans="1:17" x14ac:dyDescent="0.3">
      <c r="A60">
        <v>2303</v>
      </c>
      <c r="B60" t="s">
        <v>10</v>
      </c>
      <c r="C60" t="s">
        <v>23</v>
      </c>
      <c r="D60" t="s">
        <v>37</v>
      </c>
      <c r="E60" t="s">
        <v>22</v>
      </c>
      <c r="F60">
        <v>2</v>
      </c>
      <c r="G60">
        <v>5620.64</v>
      </c>
      <c r="H60">
        <v>0</v>
      </c>
      <c r="I60">
        <v>5619.64</v>
      </c>
      <c r="J60">
        <v>11239.28</v>
      </c>
      <c r="K60" s="1">
        <v>45650</v>
      </c>
      <c r="L60" t="s">
        <v>18</v>
      </c>
      <c r="M60" t="s">
        <v>61</v>
      </c>
      <c r="N60">
        <v>2971.55</v>
      </c>
      <c r="O60" t="s">
        <v>74</v>
      </c>
      <c r="P60">
        <v>2024</v>
      </c>
      <c r="Q60">
        <f>IF(Nike_Sales_Cleaned[[#This Row],[Revenue]] = 0, 0, Nike_Sales_Cleaned[[#This Row],[Profit]]/Nike_Sales_Cleaned[[#This Row],[Revenue]])</f>
        <v>0.26438971179648518</v>
      </c>
    </row>
    <row r="61" spans="1:17" x14ac:dyDescent="0.3">
      <c r="A61">
        <v>2307</v>
      </c>
      <c r="B61" t="s">
        <v>15</v>
      </c>
      <c r="C61" t="s">
        <v>23</v>
      </c>
      <c r="D61" t="s">
        <v>37</v>
      </c>
      <c r="E61" t="s">
        <v>25</v>
      </c>
      <c r="F61">
        <v>2</v>
      </c>
      <c r="G61">
        <v>5620.64</v>
      </c>
      <c r="H61">
        <v>0</v>
      </c>
      <c r="I61">
        <v>5619.64</v>
      </c>
      <c r="J61">
        <v>11239.28</v>
      </c>
      <c r="K61" s="1">
        <v>45826</v>
      </c>
      <c r="L61" t="s">
        <v>18</v>
      </c>
      <c r="M61" t="s">
        <v>66</v>
      </c>
      <c r="N61">
        <v>2390.6999999999998</v>
      </c>
      <c r="O61" t="s">
        <v>74</v>
      </c>
      <c r="P61">
        <v>2025</v>
      </c>
      <c r="Q61">
        <f>IF(Nike_Sales_Cleaned[[#This Row],[Revenue]] = 0, 0, Nike_Sales_Cleaned[[#This Row],[Profit]]/Nike_Sales_Cleaned[[#This Row],[Revenue]])</f>
        <v>0.21270935504765426</v>
      </c>
    </row>
    <row r="62" spans="1:17" x14ac:dyDescent="0.3">
      <c r="A62">
        <v>2026</v>
      </c>
      <c r="B62" t="s">
        <v>15</v>
      </c>
      <c r="C62" t="s">
        <v>11</v>
      </c>
      <c r="D62" t="s">
        <v>26</v>
      </c>
      <c r="E62" t="s">
        <v>13</v>
      </c>
      <c r="F62">
        <v>4</v>
      </c>
      <c r="G62">
        <v>5649.73</v>
      </c>
      <c r="H62">
        <v>0.26</v>
      </c>
      <c r="I62">
        <v>5648.99</v>
      </c>
      <c r="J62">
        <v>22595.96</v>
      </c>
      <c r="K62" s="1">
        <v>45560</v>
      </c>
      <c r="L62" t="s">
        <v>14</v>
      </c>
      <c r="M62" t="s">
        <v>65</v>
      </c>
      <c r="N62">
        <v>495.62</v>
      </c>
      <c r="O62" t="s">
        <v>78</v>
      </c>
      <c r="P62">
        <v>2024</v>
      </c>
      <c r="Q62">
        <f>IF(Nike_Sales_Cleaned[[#This Row],[Revenue]] = 0, 0, Nike_Sales_Cleaned[[#This Row],[Profit]]/Nike_Sales_Cleaned[[#This Row],[Revenue]])</f>
        <v>2.1934009442395899E-2</v>
      </c>
    </row>
    <row r="63" spans="1:17" x14ac:dyDescent="0.3">
      <c r="A63">
        <v>2314</v>
      </c>
      <c r="B63" t="s">
        <v>15</v>
      </c>
      <c r="C63" t="s">
        <v>16</v>
      </c>
      <c r="D63" t="s">
        <v>29</v>
      </c>
      <c r="E63" t="s">
        <v>13</v>
      </c>
      <c r="F63">
        <v>2</v>
      </c>
      <c r="G63">
        <v>6880.21</v>
      </c>
      <c r="H63">
        <v>0.86</v>
      </c>
      <c r="I63">
        <v>6880.07</v>
      </c>
      <c r="J63">
        <v>13760.14</v>
      </c>
      <c r="K63" s="1">
        <v>45635</v>
      </c>
      <c r="L63" t="s">
        <v>18</v>
      </c>
      <c r="M63" t="s">
        <v>63</v>
      </c>
      <c r="N63">
        <v>1505.11</v>
      </c>
      <c r="O63" t="s">
        <v>75</v>
      </c>
      <c r="P63">
        <v>2024</v>
      </c>
      <c r="Q63">
        <f>IF(Nike_Sales_Cleaned[[#This Row],[Revenue]] = 0, 0, Nike_Sales_Cleaned[[#This Row],[Profit]]/Nike_Sales_Cleaned[[#This Row],[Revenue]])</f>
        <v>0.10938188128899851</v>
      </c>
    </row>
    <row r="64" spans="1:17" x14ac:dyDescent="0.3">
      <c r="A64">
        <v>2318</v>
      </c>
      <c r="B64" t="s">
        <v>27</v>
      </c>
      <c r="C64" t="s">
        <v>16</v>
      </c>
      <c r="D64" t="s">
        <v>42</v>
      </c>
      <c r="E64" t="s">
        <v>28</v>
      </c>
      <c r="F64">
        <v>2</v>
      </c>
      <c r="G64">
        <v>5940.3850000000002</v>
      </c>
      <c r="H64">
        <v>0.25</v>
      </c>
      <c r="I64">
        <v>5939.6350000000002</v>
      </c>
      <c r="J64">
        <v>11879.27</v>
      </c>
      <c r="K64" s="1">
        <v>45751</v>
      </c>
      <c r="L64" t="s">
        <v>18</v>
      </c>
      <c r="M64" t="s">
        <v>65</v>
      </c>
      <c r="N64">
        <v>1894.17</v>
      </c>
      <c r="O64" t="s">
        <v>78</v>
      </c>
      <c r="P64">
        <v>2025</v>
      </c>
      <c r="Q64">
        <f>IF(Nike_Sales_Cleaned[[#This Row],[Revenue]] = 0, 0, Nike_Sales_Cleaned[[#This Row],[Profit]]/Nike_Sales_Cleaned[[#This Row],[Revenue]])</f>
        <v>0.1594517171509697</v>
      </c>
    </row>
    <row r="65" spans="1:17" x14ac:dyDescent="0.3">
      <c r="A65">
        <v>2326</v>
      </c>
      <c r="B65" t="s">
        <v>15</v>
      </c>
      <c r="C65" t="s">
        <v>20</v>
      </c>
      <c r="D65" t="s">
        <v>45</v>
      </c>
      <c r="E65" t="s">
        <v>25</v>
      </c>
      <c r="F65">
        <v>4</v>
      </c>
      <c r="G65">
        <v>6202.99</v>
      </c>
      <c r="H65">
        <v>0</v>
      </c>
      <c r="I65">
        <v>6201.99</v>
      </c>
      <c r="J65">
        <v>24807.96</v>
      </c>
      <c r="K65" s="1">
        <v>45636</v>
      </c>
      <c r="L65" t="s">
        <v>18</v>
      </c>
      <c r="M65" t="s">
        <v>66</v>
      </c>
      <c r="N65">
        <v>2047.65</v>
      </c>
      <c r="O65" t="s">
        <v>74</v>
      </c>
      <c r="P65">
        <v>2024</v>
      </c>
      <c r="Q65">
        <f>IF(Nike_Sales_Cleaned[[#This Row],[Revenue]] = 0, 0, Nike_Sales_Cleaned[[#This Row],[Profit]]/Nike_Sales_Cleaned[[#This Row],[Revenue]])</f>
        <v>8.2540039567945131E-2</v>
      </c>
    </row>
    <row r="66" spans="1:17" x14ac:dyDescent="0.3">
      <c r="A66">
        <v>2327</v>
      </c>
      <c r="B66" t="s">
        <v>27</v>
      </c>
      <c r="C66" t="s">
        <v>11</v>
      </c>
      <c r="D66" t="s">
        <v>26</v>
      </c>
      <c r="E66" t="s">
        <v>25</v>
      </c>
      <c r="F66">
        <v>4</v>
      </c>
      <c r="G66">
        <v>5649.73</v>
      </c>
      <c r="H66">
        <v>0</v>
      </c>
      <c r="I66">
        <v>5648.73</v>
      </c>
      <c r="J66">
        <v>22594.92</v>
      </c>
      <c r="K66" s="1">
        <v>45737</v>
      </c>
      <c r="L66" t="s">
        <v>18</v>
      </c>
      <c r="M66" t="s">
        <v>65</v>
      </c>
      <c r="N66">
        <v>3402.41</v>
      </c>
      <c r="O66" t="s">
        <v>74</v>
      </c>
      <c r="P66">
        <v>2025</v>
      </c>
      <c r="Q66">
        <f>IF(Nike_Sales_Cleaned[[#This Row],[Revenue]] = 0, 0, Nike_Sales_Cleaned[[#This Row],[Profit]]/Nike_Sales_Cleaned[[#This Row],[Revenue]])</f>
        <v>0.15058296289608461</v>
      </c>
    </row>
    <row r="67" spans="1:17" x14ac:dyDescent="0.3">
      <c r="A67">
        <v>2328</v>
      </c>
      <c r="B67" t="s">
        <v>27</v>
      </c>
      <c r="C67" t="s">
        <v>20</v>
      </c>
      <c r="D67" t="s">
        <v>30</v>
      </c>
      <c r="E67" t="s">
        <v>36</v>
      </c>
      <c r="F67">
        <v>2</v>
      </c>
      <c r="G67">
        <v>6216.29</v>
      </c>
      <c r="H67">
        <v>0.28999999999999998</v>
      </c>
      <c r="I67">
        <v>6215.58</v>
      </c>
      <c r="J67">
        <v>12431.16</v>
      </c>
      <c r="K67" s="1">
        <v>45605</v>
      </c>
      <c r="L67" t="s">
        <v>14</v>
      </c>
      <c r="M67" t="s">
        <v>63</v>
      </c>
      <c r="N67">
        <v>39.69</v>
      </c>
      <c r="O67" t="s">
        <v>78</v>
      </c>
      <c r="P67">
        <v>2024</v>
      </c>
      <c r="Q67">
        <f>IF(Nike_Sales_Cleaned[[#This Row],[Revenue]] = 0, 0, Nike_Sales_Cleaned[[#This Row],[Profit]]/Nike_Sales_Cleaned[[#This Row],[Revenue]])</f>
        <v>3.1927832961686597E-3</v>
      </c>
    </row>
    <row r="68" spans="1:17" x14ac:dyDescent="0.3">
      <c r="A68">
        <v>2329</v>
      </c>
      <c r="B68" t="s">
        <v>27</v>
      </c>
      <c r="C68" t="s">
        <v>31</v>
      </c>
      <c r="D68" t="s">
        <v>38</v>
      </c>
      <c r="E68" t="s">
        <v>22</v>
      </c>
      <c r="F68">
        <v>4</v>
      </c>
      <c r="G68">
        <v>5117.8649999999998</v>
      </c>
      <c r="H68">
        <v>0</v>
      </c>
      <c r="I68">
        <v>5116.8649999999998</v>
      </c>
      <c r="J68">
        <v>20467.46</v>
      </c>
      <c r="K68" s="1">
        <v>45813</v>
      </c>
      <c r="L68" t="s">
        <v>14</v>
      </c>
      <c r="M68" t="s">
        <v>63</v>
      </c>
      <c r="N68">
        <v>1833.07</v>
      </c>
      <c r="O68" t="s">
        <v>74</v>
      </c>
      <c r="P68">
        <v>2025</v>
      </c>
      <c r="Q68">
        <f>IF(Nike_Sales_Cleaned[[#This Row],[Revenue]] = 0, 0, Nike_Sales_Cleaned[[#This Row],[Profit]]/Nike_Sales_Cleaned[[#This Row],[Revenue]])</f>
        <v>8.9560209229674809E-2</v>
      </c>
    </row>
    <row r="69" spans="1:17" x14ac:dyDescent="0.3">
      <c r="A69">
        <v>2334</v>
      </c>
      <c r="B69" t="s">
        <v>15</v>
      </c>
      <c r="C69" t="s">
        <v>11</v>
      </c>
      <c r="D69" t="s">
        <v>12</v>
      </c>
      <c r="E69" t="s">
        <v>22</v>
      </c>
      <c r="F69">
        <v>4</v>
      </c>
      <c r="G69">
        <v>5873.83</v>
      </c>
      <c r="H69">
        <v>0.82</v>
      </c>
      <c r="I69">
        <v>5873.65</v>
      </c>
      <c r="J69">
        <v>23494.6</v>
      </c>
      <c r="K69" s="1">
        <v>45449</v>
      </c>
      <c r="L69" t="s">
        <v>18</v>
      </c>
      <c r="M69" t="s">
        <v>63</v>
      </c>
      <c r="N69">
        <v>-80.25</v>
      </c>
      <c r="O69" t="s">
        <v>75</v>
      </c>
      <c r="P69">
        <v>2024</v>
      </c>
      <c r="Q69">
        <f>IF(Nike_Sales_Cleaned[[#This Row],[Revenue]] = 0, 0, Nike_Sales_Cleaned[[#This Row],[Profit]]/Nike_Sales_Cleaned[[#This Row],[Revenue]])</f>
        <v>-3.4156784963353284E-3</v>
      </c>
    </row>
    <row r="70" spans="1:17" x14ac:dyDescent="0.3">
      <c r="A70">
        <v>2336</v>
      </c>
      <c r="B70" t="s">
        <v>10</v>
      </c>
      <c r="C70" t="s">
        <v>16</v>
      </c>
      <c r="D70" t="s">
        <v>29</v>
      </c>
      <c r="E70" t="s">
        <v>49</v>
      </c>
      <c r="F70">
        <v>4</v>
      </c>
      <c r="G70">
        <v>6880.21</v>
      </c>
      <c r="H70">
        <v>0</v>
      </c>
      <c r="I70">
        <v>6879.21</v>
      </c>
      <c r="J70">
        <v>27516.84</v>
      </c>
      <c r="K70" s="1">
        <v>45221</v>
      </c>
      <c r="L70" t="s">
        <v>14</v>
      </c>
      <c r="M70" t="s">
        <v>62</v>
      </c>
      <c r="N70">
        <v>3854.71</v>
      </c>
      <c r="O70" t="s">
        <v>74</v>
      </c>
      <c r="P70">
        <v>2023</v>
      </c>
      <c r="Q70">
        <f>IF(Nike_Sales_Cleaned[[#This Row],[Revenue]] = 0, 0, Nike_Sales_Cleaned[[#This Row],[Profit]]/Nike_Sales_Cleaned[[#This Row],[Revenue]])</f>
        <v>0.1400854894675406</v>
      </c>
    </row>
    <row r="71" spans="1:17" x14ac:dyDescent="0.3">
      <c r="A71">
        <v>2340</v>
      </c>
      <c r="B71" t="s">
        <v>15</v>
      </c>
      <c r="C71" t="s">
        <v>23</v>
      </c>
      <c r="D71" t="s">
        <v>37</v>
      </c>
      <c r="E71" t="s">
        <v>44</v>
      </c>
      <c r="F71">
        <v>3</v>
      </c>
      <c r="G71">
        <v>5620.64</v>
      </c>
      <c r="H71">
        <v>0.91</v>
      </c>
      <c r="I71">
        <v>5620.55</v>
      </c>
      <c r="J71">
        <v>16861.650000000001</v>
      </c>
      <c r="K71" s="1">
        <v>45511</v>
      </c>
      <c r="L71" t="s">
        <v>14</v>
      </c>
      <c r="M71" t="s">
        <v>63</v>
      </c>
      <c r="N71">
        <v>-425.99</v>
      </c>
      <c r="O71" t="s">
        <v>75</v>
      </c>
      <c r="P71">
        <v>2024</v>
      </c>
      <c r="Q71">
        <f>IF(Nike_Sales_Cleaned[[#This Row],[Revenue]] = 0, 0, Nike_Sales_Cleaned[[#This Row],[Profit]]/Nike_Sales_Cleaned[[#This Row],[Revenue]])</f>
        <v>-2.5263838355083872E-2</v>
      </c>
    </row>
    <row r="72" spans="1:17" x14ac:dyDescent="0.3">
      <c r="A72">
        <v>2349</v>
      </c>
      <c r="B72" t="s">
        <v>10</v>
      </c>
      <c r="C72" t="s">
        <v>16</v>
      </c>
      <c r="D72" t="s">
        <v>17</v>
      </c>
      <c r="E72" t="s">
        <v>46</v>
      </c>
      <c r="F72">
        <v>3</v>
      </c>
      <c r="G72">
        <v>5234.1550000000007</v>
      </c>
      <c r="H72">
        <v>0</v>
      </c>
      <c r="I72">
        <v>5233.1550000000007</v>
      </c>
      <c r="J72">
        <v>15699.465000000002</v>
      </c>
      <c r="K72" s="1">
        <v>45224</v>
      </c>
      <c r="L72" t="s">
        <v>14</v>
      </c>
      <c r="M72" t="s">
        <v>65</v>
      </c>
      <c r="N72">
        <v>-902.62</v>
      </c>
      <c r="O72" t="s">
        <v>74</v>
      </c>
      <c r="P72">
        <v>2023</v>
      </c>
      <c r="Q72">
        <f>IF(Nike_Sales_Cleaned[[#This Row],[Revenue]] = 0, 0, Nike_Sales_Cleaned[[#This Row],[Profit]]/Nike_Sales_Cleaned[[#This Row],[Revenue]])</f>
        <v>-5.7493678924727683E-2</v>
      </c>
    </row>
    <row r="73" spans="1:17" x14ac:dyDescent="0.3">
      <c r="A73">
        <v>2351</v>
      </c>
      <c r="B73" t="s">
        <v>27</v>
      </c>
      <c r="C73" t="s">
        <v>31</v>
      </c>
      <c r="D73" t="s">
        <v>48</v>
      </c>
      <c r="E73" t="s">
        <v>28</v>
      </c>
      <c r="F73">
        <v>3</v>
      </c>
      <c r="G73">
        <v>5355.64</v>
      </c>
      <c r="H73">
        <v>0</v>
      </c>
      <c r="I73">
        <v>5354.64</v>
      </c>
      <c r="J73">
        <v>16063.920000000002</v>
      </c>
      <c r="K73" s="1">
        <v>45502</v>
      </c>
      <c r="L73" t="s">
        <v>18</v>
      </c>
      <c r="M73" t="s">
        <v>62</v>
      </c>
      <c r="N73">
        <v>2363.69</v>
      </c>
      <c r="O73" t="s">
        <v>74</v>
      </c>
      <c r="P73">
        <v>2024</v>
      </c>
      <c r="Q73">
        <f>IF(Nike_Sales_Cleaned[[#This Row],[Revenue]] = 0, 0, Nike_Sales_Cleaned[[#This Row],[Profit]]/Nike_Sales_Cleaned[[#This Row],[Revenue]])</f>
        <v>0.14714278955572488</v>
      </c>
    </row>
    <row r="74" spans="1:17" x14ac:dyDescent="0.3">
      <c r="A74">
        <v>2355</v>
      </c>
      <c r="B74" t="s">
        <v>15</v>
      </c>
      <c r="C74" t="s">
        <v>20</v>
      </c>
      <c r="D74" t="s">
        <v>30</v>
      </c>
      <c r="E74" t="s">
        <v>22</v>
      </c>
      <c r="F74">
        <v>1</v>
      </c>
      <c r="G74">
        <v>6216.29</v>
      </c>
      <c r="H74">
        <v>0</v>
      </c>
      <c r="I74">
        <v>6215.29</v>
      </c>
      <c r="J74">
        <v>6215.29</v>
      </c>
      <c r="K74" s="1">
        <v>45499</v>
      </c>
      <c r="L74" t="s">
        <v>18</v>
      </c>
      <c r="M74" t="s">
        <v>64</v>
      </c>
      <c r="N74">
        <v>-887.83</v>
      </c>
      <c r="O74" t="s">
        <v>74</v>
      </c>
      <c r="P74">
        <v>2024</v>
      </c>
      <c r="Q74">
        <f>IF(Nike_Sales_Cleaned[[#This Row],[Revenue]] = 0, 0, Nike_Sales_Cleaned[[#This Row],[Profit]]/Nike_Sales_Cleaned[[#This Row],[Revenue]])</f>
        <v>-0.14284611015736998</v>
      </c>
    </row>
    <row r="75" spans="1:17" x14ac:dyDescent="0.3">
      <c r="A75">
        <v>2358</v>
      </c>
      <c r="B75" t="s">
        <v>27</v>
      </c>
      <c r="C75" t="s">
        <v>31</v>
      </c>
      <c r="D75" t="s">
        <v>48</v>
      </c>
      <c r="E75" t="s">
        <v>13</v>
      </c>
      <c r="F75">
        <v>4</v>
      </c>
      <c r="G75">
        <v>5355.64</v>
      </c>
      <c r="H75">
        <v>0</v>
      </c>
      <c r="I75">
        <v>5354.64</v>
      </c>
      <c r="J75">
        <v>21418.560000000001</v>
      </c>
      <c r="K75" s="1">
        <v>45712</v>
      </c>
      <c r="L75" t="s">
        <v>14</v>
      </c>
      <c r="M75" t="s">
        <v>62</v>
      </c>
      <c r="N75">
        <v>1819.6</v>
      </c>
      <c r="O75" t="s">
        <v>74</v>
      </c>
      <c r="P75">
        <v>2025</v>
      </c>
      <c r="Q75">
        <f>IF(Nike_Sales_Cleaned[[#This Row],[Revenue]] = 0, 0, Nike_Sales_Cleaned[[#This Row],[Profit]]/Nike_Sales_Cleaned[[#This Row],[Revenue]])</f>
        <v>8.4954357342417033E-2</v>
      </c>
    </row>
    <row r="76" spans="1:17" x14ac:dyDescent="0.3">
      <c r="A76">
        <v>2367</v>
      </c>
      <c r="B76" t="s">
        <v>10</v>
      </c>
      <c r="C76" t="s">
        <v>20</v>
      </c>
      <c r="D76" t="s">
        <v>45</v>
      </c>
      <c r="E76" t="s">
        <v>25</v>
      </c>
      <c r="F76">
        <v>4</v>
      </c>
      <c r="G76">
        <v>6202.99</v>
      </c>
      <c r="H76">
        <v>0.84</v>
      </c>
      <c r="I76">
        <v>6202.83</v>
      </c>
      <c r="J76">
        <v>24811.32</v>
      </c>
      <c r="K76" s="1">
        <v>45608</v>
      </c>
      <c r="L76" t="s">
        <v>14</v>
      </c>
      <c r="M76" t="s">
        <v>64</v>
      </c>
      <c r="N76">
        <v>-202.12</v>
      </c>
      <c r="O76" t="s">
        <v>75</v>
      </c>
      <c r="P76">
        <v>2024</v>
      </c>
      <c r="Q76">
        <f>IF(Nike_Sales_Cleaned[[#This Row],[Revenue]] = 0, 0, Nike_Sales_Cleaned[[#This Row],[Profit]]/Nike_Sales_Cleaned[[#This Row],[Revenue]])</f>
        <v>-8.1462816166169311E-3</v>
      </c>
    </row>
    <row r="77" spans="1:17" x14ac:dyDescent="0.3">
      <c r="A77">
        <v>2370</v>
      </c>
      <c r="B77" t="s">
        <v>27</v>
      </c>
      <c r="C77" t="s">
        <v>23</v>
      </c>
      <c r="D77" t="s">
        <v>43</v>
      </c>
      <c r="E77" t="s">
        <v>22</v>
      </c>
      <c r="F77">
        <v>2</v>
      </c>
      <c r="G77">
        <v>6577.39</v>
      </c>
      <c r="H77">
        <v>0</v>
      </c>
      <c r="I77">
        <v>6576.39</v>
      </c>
      <c r="J77">
        <v>13152.78</v>
      </c>
      <c r="K77" s="1">
        <v>45692</v>
      </c>
      <c r="L77" t="s">
        <v>14</v>
      </c>
      <c r="M77" t="s">
        <v>65</v>
      </c>
      <c r="N77">
        <v>867.37</v>
      </c>
      <c r="O77" t="s">
        <v>74</v>
      </c>
      <c r="P77">
        <v>2025</v>
      </c>
      <c r="Q77">
        <f>IF(Nike_Sales_Cleaned[[#This Row],[Revenue]] = 0, 0, Nike_Sales_Cleaned[[#This Row],[Profit]]/Nike_Sales_Cleaned[[#This Row],[Revenue]])</f>
        <v>6.5945754433663448E-2</v>
      </c>
    </row>
    <row r="78" spans="1:17" x14ac:dyDescent="0.3">
      <c r="A78">
        <v>2379</v>
      </c>
      <c r="B78" t="s">
        <v>27</v>
      </c>
      <c r="C78" t="s">
        <v>20</v>
      </c>
      <c r="D78" t="s">
        <v>47</v>
      </c>
      <c r="E78" t="s">
        <v>22</v>
      </c>
      <c r="F78">
        <v>4</v>
      </c>
      <c r="G78">
        <v>6010.71</v>
      </c>
      <c r="H78">
        <v>0</v>
      </c>
      <c r="I78">
        <v>6009.71</v>
      </c>
      <c r="J78">
        <v>24038.84</v>
      </c>
      <c r="K78" s="1">
        <v>45391</v>
      </c>
      <c r="L78" t="s">
        <v>14</v>
      </c>
      <c r="M78" t="s">
        <v>63</v>
      </c>
      <c r="N78">
        <v>3289.77</v>
      </c>
      <c r="O78" t="s">
        <v>74</v>
      </c>
      <c r="P78">
        <v>2024</v>
      </c>
      <c r="Q78">
        <f>IF(Nike_Sales_Cleaned[[#This Row],[Revenue]] = 0, 0, Nike_Sales_Cleaned[[#This Row],[Profit]]/Nike_Sales_Cleaned[[#This Row],[Revenue]])</f>
        <v>0.13685227739774464</v>
      </c>
    </row>
    <row r="79" spans="1:17" x14ac:dyDescent="0.3">
      <c r="A79">
        <v>2380</v>
      </c>
      <c r="B79" t="s">
        <v>27</v>
      </c>
      <c r="C79" t="s">
        <v>16</v>
      </c>
      <c r="D79" t="s">
        <v>42</v>
      </c>
      <c r="E79" t="s">
        <v>13</v>
      </c>
      <c r="F79">
        <v>1</v>
      </c>
      <c r="G79">
        <v>5940.3850000000002</v>
      </c>
      <c r="H79">
        <v>0</v>
      </c>
      <c r="I79">
        <v>5939.3850000000002</v>
      </c>
      <c r="J79">
        <v>5939.3850000000002</v>
      </c>
      <c r="K79" s="1">
        <v>45635</v>
      </c>
      <c r="L79" t="s">
        <v>18</v>
      </c>
      <c r="M79" t="s">
        <v>65</v>
      </c>
      <c r="N79">
        <v>2707.27</v>
      </c>
      <c r="O79" t="s">
        <v>74</v>
      </c>
      <c r="P79">
        <v>2024</v>
      </c>
      <c r="Q79">
        <f>IF(Nike_Sales_Cleaned[[#This Row],[Revenue]] = 0, 0, Nike_Sales_Cleaned[[#This Row],[Profit]]/Nike_Sales_Cleaned[[#This Row],[Revenue]])</f>
        <v>0.45581655339736349</v>
      </c>
    </row>
    <row r="80" spans="1:17" x14ac:dyDescent="0.3">
      <c r="A80">
        <v>2382</v>
      </c>
      <c r="B80" t="s">
        <v>27</v>
      </c>
      <c r="C80" t="s">
        <v>20</v>
      </c>
      <c r="D80" t="s">
        <v>30</v>
      </c>
      <c r="E80" t="s">
        <v>22</v>
      </c>
      <c r="F80">
        <v>4</v>
      </c>
      <c r="G80">
        <v>6216.29</v>
      </c>
      <c r="H80">
        <v>0</v>
      </c>
      <c r="I80">
        <v>6215.29</v>
      </c>
      <c r="J80">
        <v>24861.16</v>
      </c>
      <c r="K80" s="1">
        <v>45360</v>
      </c>
      <c r="L80" t="s">
        <v>18</v>
      </c>
      <c r="M80" t="s">
        <v>63</v>
      </c>
      <c r="N80">
        <v>787.42</v>
      </c>
      <c r="O80" t="s">
        <v>74</v>
      </c>
      <c r="P80">
        <v>2024</v>
      </c>
      <c r="Q80">
        <f>IF(Nike_Sales_Cleaned[[#This Row],[Revenue]] = 0, 0, Nike_Sales_Cleaned[[#This Row],[Profit]]/Nike_Sales_Cleaned[[#This Row],[Revenue]])</f>
        <v>3.1672697492795991E-2</v>
      </c>
    </row>
    <row r="81" spans="1:17" x14ac:dyDescent="0.3">
      <c r="A81">
        <v>2388</v>
      </c>
      <c r="B81" t="s">
        <v>10</v>
      </c>
      <c r="C81" t="s">
        <v>23</v>
      </c>
      <c r="D81" t="s">
        <v>35</v>
      </c>
      <c r="E81" t="s">
        <v>22</v>
      </c>
      <c r="F81">
        <v>1</v>
      </c>
      <c r="G81">
        <v>5282.31</v>
      </c>
      <c r="H81">
        <v>0</v>
      </c>
      <c r="I81">
        <v>5281.31</v>
      </c>
      <c r="J81">
        <v>5281.31</v>
      </c>
      <c r="K81" s="1">
        <v>45537</v>
      </c>
      <c r="L81" t="s">
        <v>18</v>
      </c>
      <c r="M81" t="s">
        <v>64</v>
      </c>
      <c r="N81">
        <v>2587.2600000000002</v>
      </c>
      <c r="O81" t="s">
        <v>74</v>
      </c>
      <c r="P81">
        <v>2024</v>
      </c>
      <c r="Q81">
        <f>IF(Nike_Sales_Cleaned[[#This Row],[Revenue]] = 0, 0, Nike_Sales_Cleaned[[#This Row],[Profit]]/Nike_Sales_Cleaned[[#This Row],[Revenue]])</f>
        <v>0.48988981900323975</v>
      </c>
    </row>
    <row r="82" spans="1:17" x14ac:dyDescent="0.3">
      <c r="A82">
        <v>2002</v>
      </c>
      <c r="B82" t="s">
        <v>15</v>
      </c>
      <c r="C82" t="s">
        <v>11</v>
      </c>
      <c r="D82" t="s">
        <v>41</v>
      </c>
      <c r="E82" t="s">
        <v>25</v>
      </c>
      <c r="F82">
        <v>4</v>
      </c>
      <c r="G82">
        <v>7594.7199999999993</v>
      </c>
      <c r="H82">
        <v>0</v>
      </c>
      <c r="I82">
        <v>7593.7199999999993</v>
      </c>
      <c r="J82">
        <v>30374.879999999997</v>
      </c>
      <c r="K82" s="1">
        <v>45568</v>
      </c>
      <c r="L82" t="s">
        <v>18</v>
      </c>
      <c r="M82" t="s">
        <v>66</v>
      </c>
      <c r="N82">
        <v>3842.85</v>
      </c>
      <c r="O82" t="s">
        <v>74</v>
      </c>
      <c r="P82">
        <v>2024</v>
      </c>
      <c r="Q82">
        <f>IF(Nike_Sales_Cleaned[[#This Row],[Revenue]] = 0, 0, Nike_Sales_Cleaned[[#This Row],[Profit]]/Nike_Sales_Cleaned[[#This Row],[Revenue]])</f>
        <v>0.12651408005562492</v>
      </c>
    </row>
    <row r="83" spans="1:17" x14ac:dyDescent="0.3">
      <c r="A83">
        <v>2395</v>
      </c>
      <c r="B83" t="s">
        <v>10</v>
      </c>
      <c r="C83" t="s">
        <v>16</v>
      </c>
      <c r="D83" t="s">
        <v>19</v>
      </c>
      <c r="E83" t="s">
        <v>25</v>
      </c>
      <c r="F83">
        <v>1</v>
      </c>
      <c r="G83">
        <v>5178.83</v>
      </c>
      <c r="H83">
        <v>0</v>
      </c>
      <c r="I83">
        <v>5177.83</v>
      </c>
      <c r="J83">
        <v>5177.83</v>
      </c>
      <c r="K83" s="1">
        <v>45846</v>
      </c>
      <c r="L83" t="s">
        <v>14</v>
      </c>
      <c r="M83" t="s">
        <v>62</v>
      </c>
      <c r="N83">
        <v>85</v>
      </c>
      <c r="O83" t="s">
        <v>74</v>
      </c>
      <c r="P83">
        <v>2025</v>
      </c>
      <c r="Q83">
        <f>IF(Nike_Sales_Cleaned[[#This Row],[Revenue]] = 0, 0, Nike_Sales_Cleaned[[#This Row],[Profit]]/Nike_Sales_Cleaned[[#This Row],[Revenue]])</f>
        <v>1.6416143442330087E-2</v>
      </c>
    </row>
    <row r="84" spans="1:17" x14ac:dyDescent="0.3">
      <c r="A84">
        <v>2025</v>
      </c>
      <c r="B84" t="s">
        <v>10</v>
      </c>
      <c r="C84" t="s">
        <v>11</v>
      </c>
      <c r="D84" t="s">
        <v>41</v>
      </c>
      <c r="E84" t="s">
        <v>25</v>
      </c>
      <c r="F84">
        <v>4</v>
      </c>
      <c r="G84">
        <v>7594.7199999999993</v>
      </c>
      <c r="H84">
        <v>0</v>
      </c>
      <c r="I84">
        <v>7593.7199999999993</v>
      </c>
      <c r="J84">
        <v>30374.879999999997</v>
      </c>
      <c r="K84" s="1">
        <v>45574</v>
      </c>
      <c r="L84" t="s">
        <v>14</v>
      </c>
      <c r="M84" t="s">
        <v>62</v>
      </c>
      <c r="N84">
        <v>-277.41000000000003</v>
      </c>
      <c r="O84" t="s">
        <v>74</v>
      </c>
      <c r="P84">
        <v>2024</v>
      </c>
      <c r="Q84">
        <f>IF(Nike_Sales_Cleaned[[#This Row],[Revenue]] = 0, 0, Nike_Sales_Cleaned[[#This Row],[Profit]]/Nike_Sales_Cleaned[[#This Row],[Revenue]])</f>
        <v>-9.1328755866689863E-3</v>
      </c>
    </row>
    <row r="85" spans="1:17" x14ac:dyDescent="0.3">
      <c r="A85">
        <v>2405</v>
      </c>
      <c r="B85" t="s">
        <v>27</v>
      </c>
      <c r="C85" t="s">
        <v>31</v>
      </c>
      <c r="D85" t="s">
        <v>38</v>
      </c>
      <c r="E85" t="s">
        <v>36</v>
      </c>
      <c r="F85">
        <v>1</v>
      </c>
      <c r="G85">
        <v>5117.8649999999998</v>
      </c>
      <c r="H85">
        <v>0</v>
      </c>
      <c r="I85">
        <v>5116.8649999999998</v>
      </c>
      <c r="J85">
        <v>5116.8649999999998</v>
      </c>
      <c r="K85" s="1">
        <v>45613</v>
      </c>
      <c r="L85" t="s">
        <v>14</v>
      </c>
      <c r="M85" t="s">
        <v>66</v>
      </c>
      <c r="N85">
        <v>69.95</v>
      </c>
      <c r="O85" t="s">
        <v>74</v>
      </c>
      <c r="P85">
        <v>2024</v>
      </c>
      <c r="Q85">
        <f>IF(Nike_Sales_Cleaned[[#This Row],[Revenue]] = 0, 0, Nike_Sales_Cleaned[[#This Row],[Profit]]/Nike_Sales_Cleaned[[#This Row],[Revenue]])</f>
        <v>1.3670479873907168E-2</v>
      </c>
    </row>
    <row r="86" spans="1:17" x14ac:dyDescent="0.3">
      <c r="A86">
        <v>2406</v>
      </c>
      <c r="B86" t="s">
        <v>27</v>
      </c>
      <c r="C86" t="s">
        <v>11</v>
      </c>
      <c r="D86" t="s">
        <v>34</v>
      </c>
      <c r="E86" t="s">
        <v>22</v>
      </c>
      <c r="F86">
        <v>4</v>
      </c>
      <c r="G86">
        <v>6186.9950000000008</v>
      </c>
      <c r="H86">
        <v>0</v>
      </c>
      <c r="I86">
        <v>6185.9950000000008</v>
      </c>
      <c r="J86">
        <v>24743.980000000003</v>
      </c>
      <c r="K86" s="1">
        <v>45186</v>
      </c>
      <c r="L86" t="s">
        <v>14</v>
      </c>
      <c r="M86" t="s">
        <v>63</v>
      </c>
      <c r="N86">
        <v>402</v>
      </c>
      <c r="O86" t="s">
        <v>74</v>
      </c>
      <c r="P86">
        <v>2023</v>
      </c>
      <c r="Q86">
        <f>IF(Nike_Sales_Cleaned[[#This Row],[Revenue]] = 0, 0, Nike_Sales_Cleaned[[#This Row],[Profit]]/Nike_Sales_Cleaned[[#This Row],[Revenue]])</f>
        <v>1.6246375886175141E-2</v>
      </c>
    </row>
    <row r="87" spans="1:17" x14ac:dyDescent="0.3">
      <c r="A87">
        <v>2408</v>
      </c>
      <c r="B87" t="s">
        <v>27</v>
      </c>
      <c r="C87" t="s">
        <v>16</v>
      </c>
      <c r="D87" t="s">
        <v>19</v>
      </c>
      <c r="E87" t="s">
        <v>25</v>
      </c>
      <c r="F87">
        <v>1</v>
      </c>
      <c r="G87">
        <v>5178.83</v>
      </c>
      <c r="H87">
        <v>0</v>
      </c>
      <c r="I87">
        <v>5177.83</v>
      </c>
      <c r="J87">
        <v>5177.83</v>
      </c>
      <c r="K87" s="1">
        <v>45574</v>
      </c>
      <c r="L87" t="s">
        <v>18</v>
      </c>
      <c r="M87" t="s">
        <v>64</v>
      </c>
      <c r="N87">
        <v>1731.86</v>
      </c>
      <c r="O87" t="s">
        <v>74</v>
      </c>
      <c r="P87">
        <v>2024</v>
      </c>
      <c r="Q87">
        <f>IF(Nike_Sales_Cleaned[[#This Row],[Revenue]] = 0, 0, Nike_Sales_Cleaned[[#This Row],[Profit]]/Nike_Sales_Cleaned[[#This Row],[Revenue]])</f>
        <v>0.33447602567098572</v>
      </c>
    </row>
    <row r="88" spans="1:17" x14ac:dyDescent="0.3">
      <c r="A88">
        <v>2415</v>
      </c>
      <c r="B88" t="s">
        <v>15</v>
      </c>
      <c r="C88" t="s">
        <v>23</v>
      </c>
      <c r="D88" t="s">
        <v>37</v>
      </c>
      <c r="E88" t="s">
        <v>49</v>
      </c>
      <c r="F88">
        <v>3</v>
      </c>
      <c r="G88">
        <v>5620.64</v>
      </c>
      <c r="H88">
        <v>0</v>
      </c>
      <c r="I88">
        <v>5619.64</v>
      </c>
      <c r="J88">
        <v>16858.920000000002</v>
      </c>
      <c r="K88" s="1">
        <v>45495</v>
      </c>
      <c r="L88" t="s">
        <v>18</v>
      </c>
      <c r="M88" t="s">
        <v>64</v>
      </c>
      <c r="N88">
        <v>73.75</v>
      </c>
      <c r="O88" t="s">
        <v>74</v>
      </c>
      <c r="P88">
        <v>2024</v>
      </c>
      <c r="Q88">
        <f>IF(Nike_Sales_Cleaned[[#This Row],[Revenue]] = 0, 0, Nike_Sales_Cleaned[[#This Row],[Profit]]/Nike_Sales_Cleaned[[#This Row],[Revenue]])</f>
        <v>4.3745388198057761E-3</v>
      </c>
    </row>
    <row r="89" spans="1:17" x14ac:dyDescent="0.3">
      <c r="A89">
        <v>2421</v>
      </c>
      <c r="B89" t="s">
        <v>15</v>
      </c>
      <c r="C89" t="s">
        <v>23</v>
      </c>
      <c r="D89" t="s">
        <v>24</v>
      </c>
      <c r="E89" t="s">
        <v>13</v>
      </c>
      <c r="F89">
        <v>2</v>
      </c>
      <c r="G89">
        <v>7557.71</v>
      </c>
      <c r="H89">
        <v>0</v>
      </c>
      <c r="I89">
        <v>7556.71</v>
      </c>
      <c r="J89">
        <v>15113.42</v>
      </c>
      <c r="K89" s="1">
        <v>45726</v>
      </c>
      <c r="L89" t="s">
        <v>18</v>
      </c>
      <c r="M89" t="s">
        <v>62</v>
      </c>
      <c r="N89">
        <v>3398.15</v>
      </c>
      <c r="O89" t="s">
        <v>74</v>
      </c>
      <c r="P89">
        <v>2025</v>
      </c>
      <c r="Q89">
        <f>IF(Nike_Sales_Cleaned[[#This Row],[Revenue]] = 0, 0, Nike_Sales_Cleaned[[#This Row],[Profit]]/Nike_Sales_Cleaned[[#This Row],[Revenue]])</f>
        <v>0.22484321880818506</v>
      </c>
    </row>
    <row r="90" spans="1:17" x14ac:dyDescent="0.3">
      <c r="A90">
        <v>2428</v>
      </c>
      <c r="B90" t="s">
        <v>10</v>
      </c>
      <c r="C90" t="s">
        <v>31</v>
      </c>
      <c r="D90" t="s">
        <v>38</v>
      </c>
      <c r="E90" t="s">
        <v>40</v>
      </c>
      <c r="F90">
        <v>2</v>
      </c>
      <c r="G90">
        <v>5117.8649999999998</v>
      </c>
      <c r="H90">
        <v>0</v>
      </c>
      <c r="I90">
        <v>5116.8649999999998</v>
      </c>
      <c r="J90">
        <v>10233.73</v>
      </c>
      <c r="K90" s="1">
        <v>45633</v>
      </c>
      <c r="L90" t="s">
        <v>18</v>
      </c>
      <c r="M90" t="s">
        <v>63</v>
      </c>
      <c r="N90">
        <v>427.51</v>
      </c>
      <c r="O90" t="s">
        <v>74</v>
      </c>
      <c r="P90">
        <v>2024</v>
      </c>
      <c r="Q90">
        <f>IF(Nike_Sales_Cleaned[[#This Row],[Revenue]] = 0, 0, Nike_Sales_Cleaned[[#This Row],[Profit]]/Nike_Sales_Cleaned[[#This Row],[Revenue]])</f>
        <v>4.1774602222259136E-2</v>
      </c>
    </row>
    <row r="91" spans="1:17" x14ac:dyDescent="0.3">
      <c r="A91">
        <v>2430</v>
      </c>
      <c r="B91" t="s">
        <v>15</v>
      </c>
      <c r="C91" t="s">
        <v>16</v>
      </c>
      <c r="D91" t="s">
        <v>17</v>
      </c>
      <c r="E91" t="s">
        <v>40</v>
      </c>
      <c r="F91">
        <v>3</v>
      </c>
      <c r="G91">
        <v>5234.1550000000007</v>
      </c>
      <c r="H91">
        <v>0.1</v>
      </c>
      <c r="I91">
        <v>5233.255000000001</v>
      </c>
      <c r="J91">
        <v>15699.765000000003</v>
      </c>
      <c r="K91" s="1">
        <v>45847</v>
      </c>
      <c r="L91" t="s">
        <v>14</v>
      </c>
      <c r="M91" t="s">
        <v>62</v>
      </c>
      <c r="N91">
        <v>215.3</v>
      </c>
      <c r="O91" t="s">
        <v>74</v>
      </c>
      <c r="P91">
        <v>2025</v>
      </c>
      <c r="Q91">
        <f>IF(Nike_Sales_Cleaned[[#This Row],[Revenue]] = 0, 0, Nike_Sales_Cleaned[[#This Row],[Profit]]/Nike_Sales_Cleaned[[#This Row],[Revenue]])</f>
        <v>1.3713581063156038E-2</v>
      </c>
    </row>
    <row r="92" spans="1:17" x14ac:dyDescent="0.3">
      <c r="A92">
        <v>2431</v>
      </c>
      <c r="B92" t="s">
        <v>15</v>
      </c>
      <c r="C92" t="s">
        <v>20</v>
      </c>
      <c r="D92" t="s">
        <v>21</v>
      </c>
      <c r="E92" t="s">
        <v>22</v>
      </c>
      <c r="F92">
        <v>1</v>
      </c>
      <c r="G92">
        <v>4904.79</v>
      </c>
      <c r="H92">
        <v>0</v>
      </c>
      <c r="I92">
        <v>4903.79</v>
      </c>
      <c r="J92">
        <v>4903.79</v>
      </c>
      <c r="K92" s="1">
        <v>45611</v>
      </c>
      <c r="L92" t="s">
        <v>14</v>
      </c>
      <c r="M92" t="s">
        <v>61</v>
      </c>
      <c r="N92">
        <v>1627.78</v>
      </c>
      <c r="O92" t="s">
        <v>74</v>
      </c>
      <c r="P92">
        <v>2024</v>
      </c>
      <c r="Q92">
        <f>IF(Nike_Sales_Cleaned[[#This Row],[Revenue]] = 0, 0, Nike_Sales_Cleaned[[#This Row],[Profit]]/Nike_Sales_Cleaned[[#This Row],[Revenue]])</f>
        <v>0.33194325205606273</v>
      </c>
    </row>
    <row r="93" spans="1:17" x14ac:dyDescent="0.3">
      <c r="A93">
        <v>2432</v>
      </c>
      <c r="B93" t="s">
        <v>15</v>
      </c>
      <c r="C93" t="s">
        <v>31</v>
      </c>
      <c r="D93" t="s">
        <v>39</v>
      </c>
      <c r="E93" t="s">
        <v>22</v>
      </c>
      <c r="F93">
        <v>1</v>
      </c>
      <c r="G93">
        <v>7845.46</v>
      </c>
      <c r="H93">
        <v>0.86</v>
      </c>
      <c r="I93">
        <v>7845.32</v>
      </c>
      <c r="J93">
        <v>7845.32</v>
      </c>
      <c r="K93" s="1">
        <v>45591</v>
      </c>
      <c r="L93" t="s">
        <v>14</v>
      </c>
      <c r="M93" t="s">
        <v>63</v>
      </c>
      <c r="N93">
        <v>3754.3</v>
      </c>
      <c r="O93" t="s">
        <v>75</v>
      </c>
      <c r="P93">
        <v>2024</v>
      </c>
      <c r="Q93">
        <f>IF(Nike_Sales_Cleaned[[#This Row],[Revenue]] = 0, 0, Nike_Sales_Cleaned[[#This Row],[Profit]]/Nike_Sales_Cleaned[[#This Row],[Revenue]])</f>
        <v>0.47854007229787954</v>
      </c>
    </row>
    <row r="94" spans="1:17" x14ac:dyDescent="0.3">
      <c r="A94">
        <v>2437</v>
      </c>
      <c r="B94" t="s">
        <v>15</v>
      </c>
      <c r="C94" t="s">
        <v>23</v>
      </c>
      <c r="D94" t="s">
        <v>43</v>
      </c>
      <c r="E94" t="s">
        <v>25</v>
      </c>
      <c r="F94">
        <v>3</v>
      </c>
      <c r="G94">
        <v>6577.39</v>
      </c>
      <c r="H94">
        <v>0.53</v>
      </c>
      <c r="I94">
        <v>6576.92</v>
      </c>
      <c r="J94">
        <v>19730.760000000002</v>
      </c>
      <c r="K94" s="1">
        <v>45504</v>
      </c>
      <c r="L94" t="s">
        <v>18</v>
      </c>
      <c r="M94" t="s">
        <v>61</v>
      </c>
      <c r="N94">
        <v>-281.42</v>
      </c>
      <c r="O94" t="s">
        <v>75</v>
      </c>
      <c r="P94">
        <v>2024</v>
      </c>
      <c r="Q94">
        <f>IF(Nike_Sales_Cleaned[[#This Row],[Revenue]] = 0, 0, Nike_Sales_Cleaned[[#This Row],[Profit]]/Nike_Sales_Cleaned[[#This Row],[Revenue]])</f>
        <v>-1.4263008622070309E-2</v>
      </c>
    </row>
    <row r="95" spans="1:17" x14ac:dyDescent="0.3">
      <c r="A95">
        <v>2443</v>
      </c>
      <c r="B95" t="s">
        <v>15</v>
      </c>
      <c r="C95" t="s">
        <v>31</v>
      </c>
      <c r="D95" t="s">
        <v>48</v>
      </c>
      <c r="E95" t="s">
        <v>13</v>
      </c>
      <c r="F95">
        <v>1</v>
      </c>
      <c r="G95">
        <v>5355.64</v>
      </c>
      <c r="H95">
        <v>0</v>
      </c>
      <c r="I95">
        <v>5354.64</v>
      </c>
      <c r="J95">
        <v>5354.64</v>
      </c>
      <c r="K95" s="1">
        <v>45731</v>
      </c>
      <c r="L95" t="s">
        <v>18</v>
      </c>
      <c r="M95" t="s">
        <v>63</v>
      </c>
      <c r="N95">
        <v>2449.4299999999998</v>
      </c>
      <c r="O95" t="s">
        <v>74</v>
      </c>
      <c r="P95">
        <v>2025</v>
      </c>
      <c r="Q95">
        <f>IF(Nike_Sales_Cleaned[[#This Row],[Revenue]] = 0, 0, Nike_Sales_Cleaned[[#This Row],[Profit]]/Nike_Sales_Cleaned[[#This Row],[Revenue]])</f>
        <v>0.45744064960482866</v>
      </c>
    </row>
    <row r="96" spans="1:17" x14ac:dyDescent="0.3">
      <c r="A96">
        <v>2444</v>
      </c>
      <c r="B96" t="s">
        <v>15</v>
      </c>
      <c r="C96" t="s">
        <v>20</v>
      </c>
      <c r="D96" t="s">
        <v>21</v>
      </c>
      <c r="E96" t="s">
        <v>25</v>
      </c>
      <c r="F96">
        <v>3</v>
      </c>
      <c r="G96">
        <v>4904.79</v>
      </c>
      <c r="H96">
        <v>0</v>
      </c>
      <c r="I96">
        <v>4903.79</v>
      </c>
      <c r="J96">
        <v>14711.369999999999</v>
      </c>
      <c r="K96" s="1">
        <v>45802</v>
      </c>
      <c r="L96" t="s">
        <v>18</v>
      </c>
      <c r="M96" t="s">
        <v>62</v>
      </c>
      <c r="N96">
        <v>1621.74</v>
      </c>
      <c r="O96" t="s">
        <v>74</v>
      </c>
      <c r="P96">
        <v>2025</v>
      </c>
      <c r="Q96">
        <f>IF(Nike_Sales_Cleaned[[#This Row],[Revenue]] = 0, 0, Nike_Sales_Cleaned[[#This Row],[Profit]]/Nike_Sales_Cleaned[[#This Row],[Revenue]])</f>
        <v>0.11023718389245869</v>
      </c>
    </row>
    <row r="97" spans="1:17" x14ac:dyDescent="0.3">
      <c r="A97">
        <v>2003</v>
      </c>
      <c r="B97" t="s">
        <v>15</v>
      </c>
      <c r="C97" t="s">
        <v>20</v>
      </c>
      <c r="D97" t="s">
        <v>30</v>
      </c>
      <c r="E97" t="s">
        <v>25</v>
      </c>
      <c r="F97">
        <v>2</v>
      </c>
      <c r="G97">
        <v>6216.29</v>
      </c>
      <c r="H97">
        <v>0.22</v>
      </c>
      <c r="I97">
        <v>6215.51</v>
      </c>
      <c r="J97">
        <v>12431.02</v>
      </c>
      <c r="K97" s="1">
        <v>45199</v>
      </c>
      <c r="L97" t="s">
        <v>14</v>
      </c>
      <c r="M97" t="s">
        <v>66</v>
      </c>
      <c r="N97">
        <v>1764.52</v>
      </c>
      <c r="O97" t="s">
        <v>78</v>
      </c>
      <c r="P97">
        <v>2023</v>
      </c>
      <c r="Q97">
        <f>IF(Nike_Sales_Cleaned[[#This Row],[Revenue]] = 0, 0, Nike_Sales_Cleaned[[#This Row],[Profit]]/Nike_Sales_Cleaned[[#This Row],[Revenue]])</f>
        <v>0.14194490878463714</v>
      </c>
    </row>
    <row r="98" spans="1:17" x14ac:dyDescent="0.3">
      <c r="A98">
        <v>2460</v>
      </c>
      <c r="B98" t="s">
        <v>15</v>
      </c>
      <c r="C98" t="s">
        <v>31</v>
      </c>
      <c r="D98" t="s">
        <v>39</v>
      </c>
      <c r="E98" t="s">
        <v>25</v>
      </c>
      <c r="F98">
        <v>2</v>
      </c>
      <c r="G98">
        <v>7845.46</v>
      </c>
      <c r="H98">
        <v>0.35</v>
      </c>
      <c r="I98">
        <v>7844.81</v>
      </c>
      <c r="J98">
        <v>15689.62</v>
      </c>
      <c r="K98" s="1">
        <v>45600</v>
      </c>
      <c r="L98" t="s">
        <v>14</v>
      </c>
      <c r="M98" t="s">
        <v>66</v>
      </c>
      <c r="N98">
        <v>-823.8</v>
      </c>
      <c r="O98" t="s">
        <v>77</v>
      </c>
      <c r="P98">
        <v>2024</v>
      </c>
      <c r="Q98">
        <f>IF(Nike_Sales_Cleaned[[#This Row],[Revenue]] = 0, 0, Nike_Sales_Cleaned[[#This Row],[Profit]]/Nike_Sales_Cleaned[[#This Row],[Revenue]])</f>
        <v>-5.2506051771808365E-2</v>
      </c>
    </row>
    <row r="99" spans="1:17" x14ac:dyDescent="0.3">
      <c r="A99">
        <v>2464</v>
      </c>
      <c r="B99" t="s">
        <v>15</v>
      </c>
      <c r="C99" t="s">
        <v>20</v>
      </c>
      <c r="D99" t="s">
        <v>21</v>
      </c>
      <c r="E99" t="s">
        <v>25</v>
      </c>
      <c r="F99">
        <v>3</v>
      </c>
      <c r="G99">
        <v>4904.79</v>
      </c>
      <c r="H99">
        <v>0</v>
      </c>
      <c r="I99">
        <v>4903.79</v>
      </c>
      <c r="J99">
        <v>14711.369999999999</v>
      </c>
      <c r="K99" s="1">
        <v>45473</v>
      </c>
      <c r="L99" t="s">
        <v>18</v>
      </c>
      <c r="M99" t="s">
        <v>61</v>
      </c>
      <c r="N99">
        <v>3507.56</v>
      </c>
      <c r="O99" t="s">
        <v>74</v>
      </c>
      <c r="P99">
        <v>2024</v>
      </c>
      <c r="Q99">
        <f>IF(Nike_Sales_Cleaned[[#This Row],[Revenue]] = 0, 0, Nike_Sales_Cleaned[[#This Row],[Profit]]/Nike_Sales_Cleaned[[#This Row],[Revenue]])</f>
        <v>0.23842510928621877</v>
      </c>
    </row>
    <row r="100" spans="1:17" x14ac:dyDescent="0.3">
      <c r="A100">
        <v>2465</v>
      </c>
      <c r="B100" t="s">
        <v>10</v>
      </c>
      <c r="C100" t="s">
        <v>20</v>
      </c>
      <c r="D100" t="s">
        <v>21</v>
      </c>
      <c r="E100" t="s">
        <v>44</v>
      </c>
      <c r="F100">
        <v>1</v>
      </c>
      <c r="G100">
        <v>4904.79</v>
      </c>
      <c r="H100">
        <v>0</v>
      </c>
      <c r="I100">
        <v>4903.79</v>
      </c>
      <c r="J100">
        <v>4903.79</v>
      </c>
      <c r="K100" s="1">
        <v>45738</v>
      </c>
      <c r="L100" t="s">
        <v>18</v>
      </c>
      <c r="M100" t="s">
        <v>62</v>
      </c>
      <c r="N100">
        <v>684.07</v>
      </c>
      <c r="O100" t="s">
        <v>74</v>
      </c>
      <c r="P100">
        <v>2025</v>
      </c>
      <c r="Q100">
        <f>IF(Nike_Sales_Cleaned[[#This Row],[Revenue]] = 0, 0, Nike_Sales_Cleaned[[#This Row],[Profit]]/Nike_Sales_Cleaned[[#This Row],[Revenue]])</f>
        <v>0.13949822484241781</v>
      </c>
    </row>
    <row r="101" spans="1:17" x14ac:dyDescent="0.3">
      <c r="A101">
        <v>2467</v>
      </c>
      <c r="B101" t="s">
        <v>10</v>
      </c>
      <c r="C101" t="s">
        <v>11</v>
      </c>
      <c r="D101" t="s">
        <v>12</v>
      </c>
      <c r="E101" t="s">
        <v>13</v>
      </c>
      <c r="F101">
        <v>1</v>
      </c>
      <c r="G101">
        <v>5873.83</v>
      </c>
      <c r="H101">
        <v>0</v>
      </c>
      <c r="I101">
        <v>5872.83</v>
      </c>
      <c r="J101">
        <v>5872.83</v>
      </c>
      <c r="K101" s="1">
        <v>45235</v>
      </c>
      <c r="L101" t="s">
        <v>14</v>
      </c>
      <c r="M101" t="s">
        <v>63</v>
      </c>
      <c r="N101">
        <v>1899.54</v>
      </c>
      <c r="O101" t="s">
        <v>74</v>
      </c>
      <c r="P101">
        <v>2023</v>
      </c>
      <c r="Q101">
        <f>IF(Nike_Sales_Cleaned[[#This Row],[Revenue]] = 0, 0, Nike_Sales_Cleaned[[#This Row],[Profit]]/Nike_Sales_Cleaned[[#This Row],[Revenue]])</f>
        <v>0.32344542579982732</v>
      </c>
    </row>
    <row r="102" spans="1:17" x14ac:dyDescent="0.3">
      <c r="A102">
        <v>2481</v>
      </c>
      <c r="B102" t="s">
        <v>15</v>
      </c>
      <c r="C102" t="s">
        <v>16</v>
      </c>
      <c r="D102" t="s">
        <v>19</v>
      </c>
      <c r="E102" t="s">
        <v>44</v>
      </c>
      <c r="F102">
        <v>1</v>
      </c>
      <c r="G102">
        <v>5178.83</v>
      </c>
      <c r="H102">
        <v>7.0000000000000007E-2</v>
      </c>
      <c r="I102">
        <v>5177.8999999999996</v>
      </c>
      <c r="J102">
        <v>5177.8999999999996</v>
      </c>
      <c r="K102" s="1">
        <v>45764</v>
      </c>
      <c r="L102" t="s">
        <v>14</v>
      </c>
      <c r="M102" t="s">
        <v>62</v>
      </c>
      <c r="N102">
        <v>1755.19</v>
      </c>
      <c r="O102" t="s">
        <v>74</v>
      </c>
      <c r="P102">
        <v>2025</v>
      </c>
      <c r="Q102">
        <f>IF(Nike_Sales_Cleaned[[#This Row],[Revenue]] = 0, 0, Nike_Sales_Cleaned[[#This Row],[Profit]]/Nike_Sales_Cleaned[[#This Row],[Revenue]])</f>
        <v>0.33897719152552197</v>
      </c>
    </row>
    <row r="103" spans="1:17" x14ac:dyDescent="0.3">
      <c r="A103">
        <v>2487</v>
      </c>
      <c r="B103" t="s">
        <v>27</v>
      </c>
      <c r="C103" t="s">
        <v>23</v>
      </c>
      <c r="D103" t="s">
        <v>35</v>
      </c>
      <c r="E103" t="s">
        <v>22</v>
      </c>
      <c r="F103">
        <v>3</v>
      </c>
      <c r="G103">
        <v>5282.31</v>
      </c>
      <c r="H103">
        <v>0.8</v>
      </c>
      <c r="I103">
        <v>5282.1100000000006</v>
      </c>
      <c r="J103">
        <v>15846.330000000002</v>
      </c>
      <c r="K103" s="1">
        <v>45747</v>
      </c>
      <c r="L103" t="s">
        <v>14</v>
      </c>
      <c r="M103" t="s">
        <v>61</v>
      </c>
      <c r="N103">
        <v>2108.4</v>
      </c>
      <c r="O103" t="s">
        <v>75</v>
      </c>
      <c r="P103">
        <v>2025</v>
      </c>
      <c r="Q103">
        <f>IF(Nike_Sales_Cleaned[[#This Row],[Revenue]] = 0, 0, Nike_Sales_Cleaned[[#This Row],[Profit]]/Nike_Sales_Cleaned[[#This Row],[Revenue]])</f>
        <v>0.13305288984894292</v>
      </c>
    </row>
    <row r="104" spans="1:17" x14ac:dyDescent="0.3">
      <c r="A104">
        <v>2490</v>
      </c>
      <c r="B104" t="s">
        <v>15</v>
      </c>
      <c r="C104" t="s">
        <v>16</v>
      </c>
      <c r="D104" t="s">
        <v>19</v>
      </c>
      <c r="E104" t="s">
        <v>22</v>
      </c>
      <c r="F104">
        <v>3</v>
      </c>
      <c r="G104">
        <v>5178.83</v>
      </c>
      <c r="H104">
        <v>0.75</v>
      </c>
      <c r="I104">
        <v>5178.58</v>
      </c>
      <c r="J104">
        <v>15535.74</v>
      </c>
      <c r="K104" s="1">
        <v>45622</v>
      </c>
      <c r="L104" t="s">
        <v>14</v>
      </c>
      <c r="M104" t="s">
        <v>61</v>
      </c>
      <c r="N104">
        <v>-494.53</v>
      </c>
      <c r="O104" t="s">
        <v>75</v>
      </c>
      <c r="P104">
        <v>2024</v>
      </c>
      <c r="Q104">
        <f>IF(Nike_Sales_Cleaned[[#This Row],[Revenue]] = 0, 0, Nike_Sales_Cleaned[[#This Row],[Profit]]/Nike_Sales_Cleaned[[#This Row],[Revenue]])</f>
        <v>-3.1831763404897351E-2</v>
      </c>
    </row>
    <row r="105" spans="1:17" x14ac:dyDescent="0.3">
      <c r="A105">
        <v>2496</v>
      </c>
      <c r="B105" t="s">
        <v>10</v>
      </c>
      <c r="C105" t="s">
        <v>23</v>
      </c>
      <c r="D105" t="s">
        <v>24</v>
      </c>
      <c r="E105" t="s">
        <v>13</v>
      </c>
      <c r="F105">
        <v>2</v>
      </c>
      <c r="G105">
        <v>7557.71</v>
      </c>
      <c r="H105">
        <v>0.32</v>
      </c>
      <c r="I105">
        <v>7557.03</v>
      </c>
      <c r="J105">
        <v>15114.06</v>
      </c>
      <c r="K105" s="1">
        <v>45650</v>
      </c>
      <c r="L105" t="s">
        <v>18</v>
      </c>
      <c r="M105" t="s">
        <v>64</v>
      </c>
      <c r="N105">
        <v>3894.95</v>
      </c>
      <c r="O105" t="s">
        <v>77</v>
      </c>
      <c r="P105">
        <v>2024</v>
      </c>
      <c r="Q105">
        <f>IF(Nike_Sales_Cleaned[[#This Row],[Revenue]] = 0, 0, Nike_Sales_Cleaned[[#This Row],[Profit]]/Nike_Sales_Cleaned[[#This Row],[Revenue]])</f>
        <v>0.25770375398800849</v>
      </c>
    </row>
    <row r="106" spans="1:17" x14ac:dyDescent="0.3">
      <c r="A106">
        <v>2497</v>
      </c>
      <c r="B106" t="s">
        <v>10</v>
      </c>
      <c r="C106" t="s">
        <v>31</v>
      </c>
      <c r="D106" t="s">
        <v>32</v>
      </c>
      <c r="E106" t="s">
        <v>25</v>
      </c>
      <c r="F106">
        <v>1</v>
      </c>
      <c r="G106">
        <v>5981.92</v>
      </c>
      <c r="H106">
        <v>0</v>
      </c>
      <c r="I106">
        <v>5980.92</v>
      </c>
      <c r="J106">
        <v>5980.92</v>
      </c>
      <c r="K106" s="1">
        <v>45259</v>
      </c>
      <c r="L106" t="s">
        <v>14</v>
      </c>
      <c r="M106" t="s">
        <v>63</v>
      </c>
      <c r="N106">
        <v>2592.98</v>
      </c>
      <c r="O106" t="s">
        <v>74</v>
      </c>
      <c r="P106">
        <v>2023</v>
      </c>
      <c r="Q106">
        <f>IF(Nike_Sales_Cleaned[[#This Row],[Revenue]] = 0, 0, Nike_Sales_Cleaned[[#This Row],[Profit]]/Nike_Sales_Cleaned[[#This Row],[Revenue]])</f>
        <v>0.4335419968834226</v>
      </c>
    </row>
    <row r="107" spans="1:17" x14ac:dyDescent="0.3">
      <c r="A107">
        <v>2507</v>
      </c>
      <c r="B107" t="s">
        <v>27</v>
      </c>
      <c r="C107" t="s">
        <v>16</v>
      </c>
      <c r="D107" t="s">
        <v>42</v>
      </c>
      <c r="E107" t="s">
        <v>22</v>
      </c>
      <c r="F107">
        <v>2</v>
      </c>
      <c r="G107">
        <v>5940.3850000000002</v>
      </c>
      <c r="H107">
        <v>0</v>
      </c>
      <c r="I107">
        <v>5939.3850000000002</v>
      </c>
      <c r="J107">
        <v>11878.77</v>
      </c>
      <c r="K107" s="1">
        <v>45364</v>
      </c>
      <c r="L107" t="s">
        <v>18</v>
      </c>
      <c r="M107" t="s">
        <v>61</v>
      </c>
      <c r="N107">
        <v>2116.5300000000002</v>
      </c>
      <c r="O107" t="s">
        <v>74</v>
      </c>
      <c r="P107">
        <v>2024</v>
      </c>
      <c r="Q107">
        <f>IF(Nike_Sales_Cleaned[[#This Row],[Revenue]] = 0, 0, Nike_Sales_Cleaned[[#This Row],[Profit]]/Nike_Sales_Cleaned[[#This Row],[Revenue]])</f>
        <v>0.17817753858354021</v>
      </c>
    </row>
    <row r="108" spans="1:17" x14ac:dyDescent="0.3">
      <c r="A108">
        <v>2513</v>
      </c>
      <c r="B108" t="s">
        <v>15</v>
      </c>
      <c r="C108" t="s">
        <v>31</v>
      </c>
      <c r="D108" t="s">
        <v>39</v>
      </c>
      <c r="E108" t="s">
        <v>25</v>
      </c>
      <c r="F108">
        <v>4</v>
      </c>
      <c r="G108">
        <v>7845.46</v>
      </c>
      <c r="H108">
        <v>0</v>
      </c>
      <c r="I108">
        <v>7844.46</v>
      </c>
      <c r="J108">
        <v>31377.84</v>
      </c>
      <c r="K108" s="1">
        <v>45576</v>
      </c>
      <c r="L108" t="s">
        <v>14</v>
      </c>
      <c r="M108" t="s">
        <v>62</v>
      </c>
      <c r="N108">
        <v>2764.66</v>
      </c>
      <c r="O108" t="s">
        <v>74</v>
      </c>
      <c r="P108">
        <v>2024</v>
      </c>
      <c r="Q108">
        <f>IF(Nike_Sales_Cleaned[[#This Row],[Revenue]] = 0, 0, Nike_Sales_Cleaned[[#This Row],[Profit]]/Nike_Sales_Cleaned[[#This Row],[Revenue]])</f>
        <v>8.8108677971460103E-2</v>
      </c>
    </row>
    <row r="109" spans="1:17" x14ac:dyDescent="0.3">
      <c r="A109">
        <v>2514</v>
      </c>
      <c r="B109" t="s">
        <v>10</v>
      </c>
      <c r="C109" t="s">
        <v>31</v>
      </c>
      <c r="D109" t="s">
        <v>32</v>
      </c>
      <c r="E109" t="s">
        <v>13</v>
      </c>
      <c r="F109">
        <v>1</v>
      </c>
      <c r="G109">
        <v>5981.92</v>
      </c>
      <c r="H109">
        <v>0</v>
      </c>
      <c r="I109">
        <v>5980.92</v>
      </c>
      <c r="J109">
        <v>5980.92</v>
      </c>
      <c r="K109" s="1">
        <v>45803</v>
      </c>
      <c r="L109" t="s">
        <v>14</v>
      </c>
      <c r="M109" t="s">
        <v>64</v>
      </c>
      <c r="N109">
        <v>1790.41</v>
      </c>
      <c r="O109" t="s">
        <v>74</v>
      </c>
      <c r="P109">
        <v>2025</v>
      </c>
      <c r="Q109">
        <f>IF(Nike_Sales_Cleaned[[#This Row],[Revenue]] = 0, 0, Nike_Sales_Cleaned[[#This Row],[Profit]]/Nike_Sales_Cleaned[[#This Row],[Revenue]])</f>
        <v>0.29935361115012404</v>
      </c>
    </row>
    <row r="110" spans="1:17" x14ac:dyDescent="0.3">
      <c r="A110">
        <v>2521</v>
      </c>
      <c r="B110" t="s">
        <v>10</v>
      </c>
      <c r="C110" t="s">
        <v>20</v>
      </c>
      <c r="D110" t="s">
        <v>21</v>
      </c>
      <c r="E110" t="s">
        <v>13</v>
      </c>
      <c r="F110">
        <v>4</v>
      </c>
      <c r="G110">
        <v>4904.79</v>
      </c>
      <c r="H110">
        <v>0</v>
      </c>
      <c r="I110">
        <v>4903.79</v>
      </c>
      <c r="J110">
        <v>19615.16</v>
      </c>
      <c r="K110" s="1">
        <v>45560</v>
      </c>
      <c r="L110" t="s">
        <v>14</v>
      </c>
      <c r="M110" t="s">
        <v>66</v>
      </c>
      <c r="N110">
        <v>3265.83</v>
      </c>
      <c r="O110" t="s">
        <v>74</v>
      </c>
      <c r="P110">
        <v>2024</v>
      </c>
      <c r="Q110">
        <f>IF(Nike_Sales_Cleaned[[#This Row],[Revenue]] = 0, 0, Nike_Sales_Cleaned[[#This Row],[Profit]]/Nike_Sales_Cleaned[[#This Row],[Revenue]])</f>
        <v>0.1664952006509251</v>
      </c>
    </row>
    <row r="111" spans="1:17" x14ac:dyDescent="0.3">
      <c r="A111">
        <v>2522</v>
      </c>
      <c r="B111" t="s">
        <v>27</v>
      </c>
      <c r="C111" t="s">
        <v>23</v>
      </c>
      <c r="D111" t="s">
        <v>43</v>
      </c>
      <c r="E111" t="s">
        <v>25</v>
      </c>
      <c r="F111">
        <v>4</v>
      </c>
      <c r="G111">
        <v>6577.39</v>
      </c>
      <c r="H111">
        <v>0</v>
      </c>
      <c r="I111">
        <v>6576.39</v>
      </c>
      <c r="J111">
        <v>26305.56</v>
      </c>
      <c r="K111" s="1">
        <v>45335</v>
      </c>
      <c r="L111" t="s">
        <v>18</v>
      </c>
      <c r="M111" t="s">
        <v>66</v>
      </c>
      <c r="N111">
        <v>-199.13</v>
      </c>
      <c r="O111" t="s">
        <v>74</v>
      </c>
      <c r="P111">
        <v>2024</v>
      </c>
      <c r="Q111">
        <f>IF(Nike_Sales_Cleaned[[#This Row],[Revenue]] = 0, 0, Nike_Sales_Cleaned[[#This Row],[Profit]]/Nike_Sales_Cleaned[[#This Row],[Revenue]])</f>
        <v>-7.5698825647505692E-3</v>
      </c>
    </row>
    <row r="112" spans="1:17" x14ac:dyDescent="0.3">
      <c r="A112">
        <v>2525</v>
      </c>
      <c r="B112" t="s">
        <v>15</v>
      </c>
      <c r="C112" t="s">
        <v>11</v>
      </c>
      <c r="D112" t="s">
        <v>34</v>
      </c>
      <c r="E112" t="s">
        <v>25</v>
      </c>
      <c r="F112">
        <v>2</v>
      </c>
      <c r="G112">
        <v>6186.9950000000008</v>
      </c>
      <c r="H112">
        <v>0</v>
      </c>
      <c r="I112">
        <v>6185.9950000000008</v>
      </c>
      <c r="J112">
        <v>12371.990000000002</v>
      </c>
      <c r="K112" s="1">
        <v>45706</v>
      </c>
      <c r="L112" t="s">
        <v>18</v>
      </c>
      <c r="M112" t="s">
        <v>66</v>
      </c>
      <c r="N112">
        <v>3453.18</v>
      </c>
      <c r="O112" t="s">
        <v>74</v>
      </c>
      <c r="P112">
        <v>2025</v>
      </c>
      <c r="Q112">
        <f>IF(Nike_Sales_Cleaned[[#This Row],[Revenue]] = 0, 0, Nike_Sales_Cleaned[[#This Row],[Profit]]/Nike_Sales_Cleaned[[#This Row],[Revenue]])</f>
        <v>0.27911273772448891</v>
      </c>
    </row>
    <row r="113" spans="1:17" x14ac:dyDescent="0.3">
      <c r="A113">
        <v>2526</v>
      </c>
      <c r="B113" t="s">
        <v>10</v>
      </c>
      <c r="C113" t="s">
        <v>20</v>
      </c>
      <c r="D113" t="s">
        <v>30</v>
      </c>
      <c r="E113" t="s">
        <v>46</v>
      </c>
      <c r="F113">
        <v>1</v>
      </c>
      <c r="G113">
        <v>6216.29</v>
      </c>
      <c r="H113">
        <v>0</v>
      </c>
      <c r="I113">
        <v>6215.29</v>
      </c>
      <c r="J113">
        <v>6215.29</v>
      </c>
      <c r="K113" s="1">
        <v>45505</v>
      </c>
      <c r="L113" t="s">
        <v>18</v>
      </c>
      <c r="M113" t="s">
        <v>61</v>
      </c>
      <c r="N113">
        <v>3188.07</v>
      </c>
      <c r="O113" t="s">
        <v>74</v>
      </c>
      <c r="P113">
        <v>2024</v>
      </c>
      <c r="Q113">
        <f>IF(Nike_Sales_Cleaned[[#This Row],[Revenue]] = 0, 0, Nike_Sales_Cleaned[[#This Row],[Profit]]/Nike_Sales_Cleaned[[#This Row],[Revenue]])</f>
        <v>0.51293986282216919</v>
      </c>
    </row>
    <row r="114" spans="1:17" x14ac:dyDescent="0.3">
      <c r="A114">
        <v>2528</v>
      </c>
      <c r="B114" t="s">
        <v>15</v>
      </c>
      <c r="C114" t="s">
        <v>11</v>
      </c>
      <c r="D114" t="s">
        <v>41</v>
      </c>
      <c r="E114" t="s">
        <v>28</v>
      </c>
      <c r="F114">
        <v>2</v>
      </c>
      <c r="G114">
        <v>7594.7199999999993</v>
      </c>
      <c r="H114">
        <v>0</v>
      </c>
      <c r="I114">
        <v>7593.7199999999993</v>
      </c>
      <c r="J114">
        <v>15187.439999999999</v>
      </c>
      <c r="K114" s="1">
        <v>45818</v>
      </c>
      <c r="L114" t="s">
        <v>14</v>
      </c>
      <c r="M114" t="s">
        <v>65</v>
      </c>
      <c r="N114">
        <v>134.1</v>
      </c>
      <c r="O114" t="s">
        <v>74</v>
      </c>
      <c r="P114">
        <v>2025</v>
      </c>
      <c r="Q114">
        <f>IF(Nike_Sales_Cleaned[[#This Row],[Revenue]] = 0, 0, Nike_Sales_Cleaned[[#This Row],[Profit]]/Nike_Sales_Cleaned[[#This Row],[Revenue]])</f>
        <v>8.8296645122548645E-3</v>
      </c>
    </row>
    <row r="115" spans="1:17" x14ac:dyDescent="0.3">
      <c r="A115">
        <v>2530</v>
      </c>
      <c r="B115" t="s">
        <v>15</v>
      </c>
      <c r="C115" t="s">
        <v>20</v>
      </c>
      <c r="D115" t="s">
        <v>45</v>
      </c>
      <c r="E115" t="s">
        <v>13</v>
      </c>
      <c r="F115">
        <v>2</v>
      </c>
      <c r="G115">
        <v>6202.99</v>
      </c>
      <c r="H115">
        <v>0</v>
      </c>
      <c r="I115">
        <v>6201.99</v>
      </c>
      <c r="J115">
        <v>12403.98</v>
      </c>
      <c r="K115" s="1">
        <v>45715</v>
      </c>
      <c r="L115" t="s">
        <v>18</v>
      </c>
      <c r="M115" t="s">
        <v>63</v>
      </c>
      <c r="N115">
        <v>3936.13</v>
      </c>
      <c r="O115" t="s">
        <v>74</v>
      </c>
      <c r="P115">
        <v>2025</v>
      </c>
      <c r="Q115">
        <f>IF(Nike_Sales_Cleaned[[#This Row],[Revenue]] = 0, 0, Nike_Sales_Cleaned[[#This Row],[Profit]]/Nike_Sales_Cleaned[[#This Row],[Revenue]])</f>
        <v>0.31732798666234552</v>
      </c>
    </row>
    <row r="116" spans="1:17" x14ac:dyDescent="0.3">
      <c r="A116">
        <v>2535</v>
      </c>
      <c r="B116" t="s">
        <v>27</v>
      </c>
      <c r="C116" t="s">
        <v>16</v>
      </c>
      <c r="D116" t="s">
        <v>17</v>
      </c>
      <c r="E116" t="s">
        <v>25</v>
      </c>
      <c r="F116">
        <v>2</v>
      </c>
      <c r="G116">
        <v>5234.1550000000007</v>
      </c>
      <c r="H116">
        <v>0.21</v>
      </c>
      <c r="I116">
        <v>5233.3650000000007</v>
      </c>
      <c r="J116">
        <v>10466.730000000001</v>
      </c>
      <c r="K116" s="1">
        <v>45682</v>
      </c>
      <c r="L116" t="s">
        <v>14</v>
      </c>
      <c r="M116" t="s">
        <v>63</v>
      </c>
      <c r="N116">
        <v>3345.36</v>
      </c>
      <c r="O116" t="s">
        <v>78</v>
      </c>
      <c r="P116">
        <v>2025</v>
      </c>
      <c r="Q116">
        <f>IF(Nike_Sales_Cleaned[[#This Row],[Revenue]] = 0, 0, Nike_Sales_Cleaned[[#This Row],[Profit]]/Nike_Sales_Cleaned[[#This Row],[Revenue]])</f>
        <v>0.31961844816862572</v>
      </c>
    </row>
    <row r="117" spans="1:17" x14ac:dyDescent="0.3">
      <c r="A117">
        <v>2547</v>
      </c>
      <c r="B117" t="s">
        <v>15</v>
      </c>
      <c r="C117" t="s">
        <v>16</v>
      </c>
      <c r="D117" t="s">
        <v>29</v>
      </c>
      <c r="E117" t="s">
        <v>13</v>
      </c>
      <c r="F117">
        <v>1</v>
      </c>
      <c r="G117">
        <v>6880.21</v>
      </c>
      <c r="H117">
        <v>0</v>
      </c>
      <c r="I117">
        <v>6879.21</v>
      </c>
      <c r="J117">
        <v>6879.21</v>
      </c>
      <c r="K117" s="1">
        <v>45846</v>
      </c>
      <c r="L117" t="s">
        <v>18</v>
      </c>
      <c r="M117" t="s">
        <v>66</v>
      </c>
      <c r="N117">
        <v>-586.29</v>
      </c>
      <c r="O117" t="s">
        <v>74</v>
      </c>
      <c r="P117">
        <v>2025</v>
      </c>
      <c r="Q117">
        <f>IF(Nike_Sales_Cleaned[[#This Row],[Revenue]] = 0, 0, Nike_Sales_Cleaned[[#This Row],[Profit]]/Nike_Sales_Cleaned[[#This Row],[Revenue]])</f>
        <v>-8.5226355933312098E-2</v>
      </c>
    </row>
    <row r="118" spans="1:17" x14ac:dyDescent="0.3">
      <c r="A118">
        <v>2550</v>
      </c>
      <c r="B118" t="s">
        <v>27</v>
      </c>
      <c r="C118" t="s">
        <v>16</v>
      </c>
      <c r="D118" t="s">
        <v>19</v>
      </c>
      <c r="E118" t="s">
        <v>25</v>
      </c>
      <c r="F118">
        <v>1</v>
      </c>
      <c r="G118">
        <v>5178.83</v>
      </c>
      <c r="H118">
        <v>0.05</v>
      </c>
      <c r="I118">
        <v>5177.88</v>
      </c>
      <c r="J118">
        <v>5177.88</v>
      </c>
      <c r="K118" s="1">
        <v>45177</v>
      </c>
      <c r="L118" t="s">
        <v>14</v>
      </c>
      <c r="M118" t="s">
        <v>66</v>
      </c>
      <c r="N118">
        <v>2470.08</v>
      </c>
      <c r="O118" t="s">
        <v>74</v>
      </c>
      <c r="P118">
        <v>2023</v>
      </c>
      <c r="Q118">
        <f>IF(Nike_Sales_Cleaned[[#This Row],[Revenue]] = 0, 0, Nike_Sales_Cleaned[[#This Row],[Profit]]/Nike_Sales_Cleaned[[#This Row],[Revenue]])</f>
        <v>0.47704465920415301</v>
      </c>
    </row>
    <row r="119" spans="1:17" x14ac:dyDescent="0.3">
      <c r="A119">
        <v>2552</v>
      </c>
      <c r="B119" t="s">
        <v>15</v>
      </c>
      <c r="C119" t="s">
        <v>16</v>
      </c>
      <c r="D119" t="s">
        <v>19</v>
      </c>
      <c r="E119" t="s">
        <v>46</v>
      </c>
      <c r="F119">
        <v>1</v>
      </c>
      <c r="G119">
        <v>5178.83</v>
      </c>
      <c r="H119">
        <v>0.41</v>
      </c>
      <c r="I119">
        <v>5178.24</v>
      </c>
      <c r="J119">
        <v>5178.24</v>
      </c>
      <c r="K119" s="1">
        <v>45780</v>
      </c>
      <c r="L119" t="s">
        <v>18</v>
      </c>
      <c r="M119" t="s">
        <v>61</v>
      </c>
      <c r="N119">
        <v>3389.34</v>
      </c>
      <c r="O119" t="s">
        <v>77</v>
      </c>
      <c r="P119">
        <v>2025</v>
      </c>
      <c r="Q119">
        <f>IF(Nike_Sales_Cleaned[[#This Row],[Revenue]] = 0, 0, Nike_Sales_Cleaned[[#This Row],[Profit]]/Nike_Sales_Cleaned[[#This Row],[Revenue]])</f>
        <v>0.65453513162773458</v>
      </c>
    </row>
    <row r="120" spans="1:17" x14ac:dyDescent="0.3">
      <c r="A120">
        <v>2554</v>
      </c>
      <c r="B120" t="s">
        <v>15</v>
      </c>
      <c r="C120" t="s">
        <v>11</v>
      </c>
      <c r="D120" t="s">
        <v>26</v>
      </c>
      <c r="E120" t="s">
        <v>13</v>
      </c>
      <c r="F120">
        <v>1</v>
      </c>
      <c r="G120">
        <v>5649.73</v>
      </c>
      <c r="H120">
        <v>0</v>
      </c>
      <c r="I120">
        <v>5648.73</v>
      </c>
      <c r="J120">
        <v>5648.73</v>
      </c>
      <c r="K120" s="1">
        <v>45670</v>
      </c>
      <c r="L120" t="s">
        <v>18</v>
      </c>
      <c r="M120" t="s">
        <v>64</v>
      </c>
      <c r="N120">
        <v>1002.19</v>
      </c>
      <c r="O120" t="s">
        <v>74</v>
      </c>
      <c r="P120">
        <v>2025</v>
      </c>
      <c r="Q120">
        <f>IF(Nike_Sales_Cleaned[[#This Row],[Revenue]] = 0, 0, Nike_Sales_Cleaned[[#This Row],[Profit]]/Nike_Sales_Cleaned[[#This Row],[Revenue]])</f>
        <v>0.17741864100426116</v>
      </c>
    </row>
    <row r="121" spans="1:17" x14ac:dyDescent="0.3">
      <c r="A121">
        <v>2557</v>
      </c>
      <c r="B121" t="s">
        <v>27</v>
      </c>
      <c r="C121" t="s">
        <v>31</v>
      </c>
      <c r="D121" t="s">
        <v>48</v>
      </c>
      <c r="E121" t="s">
        <v>13</v>
      </c>
      <c r="F121">
        <v>3</v>
      </c>
      <c r="G121">
        <v>5355.64</v>
      </c>
      <c r="H121">
        <v>0</v>
      </c>
      <c r="I121">
        <v>5354.64</v>
      </c>
      <c r="J121">
        <v>16063.920000000002</v>
      </c>
      <c r="K121" s="1">
        <v>45605</v>
      </c>
      <c r="L121" t="s">
        <v>18</v>
      </c>
      <c r="M121" t="s">
        <v>66</v>
      </c>
      <c r="N121">
        <v>1115.74</v>
      </c>
      <c r="O121" t="s">
        <v>74</v>
      </c>
      <c r="P121">
        <v>2024</v>
      </c>
      <c r="Q121">
        <f>IF(Nike_Sales_Cleaned[[#This Row],[Revenue]] = 0, 0, Nike_Sales_Cleaned[[#This Row],[Profit]]/Nike_Sales_Cleaned[[#This Row],[Revenue]])</f>
        <v>6.9456272192590596E-2</v>
      </c>
    </row>
    <row r="122" spans="1:17" x14ac:dyDescent="0.3">
      <c r="A122">
        <v>2559</v>
      </c>
      <c r="B122" t="s">
        <v>27</v>
      </c>
      <c r="C122" t="s">
        <v>20</v>
      </c>
      <c r="D122" t="s">
        <v>47</v>
      </c>
      <c r="E122" t="s">
        <v>44</v>
      </c>
      <c r="F122">
        <v>3</v>
      </c>
      <c r="G122">
        <v>6010.71</v>
      </c>
      <c r="H122">
        <v>0</v>
      </c>
      <c r="I122">
        <v>6009.71</v>
      </c>
      <c r="J122">
        <v>18029.13</v>
      </c>
      <c r="K122" s="1">
        <v>45698</v>
      </c>
      <c r="L122" t="s">
        <v>14</v>
      </c>
      <c r="M122" t="s">
        <v>66</v>
      </c>
      <c r="N122">
        <v>-99.73</v>
      </c>
      <c r="O122" t="s">
        <v>74</v>
      </c>
      <c r="P122">
        <v>2025</v>
      </c>
      <c r="Q122">
        <f>IF(Nike_Sales_Cleaned[[#This Row],[Revenue]] = 0, 0, Nike_Sales_Cleaned[[#This Row],[Profit]]/Nike_Sales_Cleaned[[#This Row],[Revenue]])</f>
        <v>-5.5316035770999489E-3</v>
      </c>
    </row>
    <row r="123" spans="1:17" x14ac:dyDescent="0.3">
      <c r="A123">
        <v>2560</v>
      </c>
      <c r="B123" t="s">
        <v>10</v>
      </c>
      <c r="C123" t="s">
        <v>31</v>
      </c>
      <c r="D123" t="s">
        <v>39</v>
      </c>
      <c r="E123" t="s">
        <v>13</v>
      </c>
      <c r="F123">
        <v>2</v>
      </c>
      <c r="G123">
        <v>7845.46</v>
      </c>
      <c r="H123">
        <v>0</v>
      </c>
      <c r="I123">
        <v>7844.46</v>
      </c>
      <c r="J123">
        <v>15688.92</v>
      </c>
      <c r="K123" s="1">
        <v>45673</v>
      </c>
      <c r="L123" t="s">
        <v>18</v>
      </c>
      <c r="M123" t="s">
        <v>65</v>
      </c>
      <c r="N123">
        <v>3493.16</v>
      </c>
      <c r="O123" t="s">
        <v>74</v>
      </c>
      <c r="P123">
        <v>2025</v>
      </c>
      <c r="Q123">
        <f>IF(Nike_Sales_Cleaned[[#This Row],[Revenue]] = 0, 0, Nike_Sales_Cleaned[[#This Row],[Profit]]/Nike_Sales_Cleaned[[#This Row],[Revenue]])</f>
        <v>0.22265139984141674</v>
      </c>
    </row>
    <row r="124" spans="1:17" x14ac:dyDescent="0.3">
      <c r="A124">
        <v>2562</v>
      </c>
      <c r="B124" t="s">
        <v>10</v>
      </c>
      <c r="C124" t="s">
        <v>11</v>
      </c>
      <c r="D124" t="s">
        <v>41</v>
      </c>
      <c r="E124" t="s">
        <v>22</v>
      </c>
      <c r="F124">
        <v>1</v>
      </c>
      <c r="G124">
        <v>7594.7199999999993</v>
      </c>
      <c r="H124">
        <v>0</v>
      </c>
      <c r="I124">
        <v>7593.7199999999993</v>
      </c>
      <c r="J124">
        <v>7593.7199999999993</v>
      </c>
      <c r="K124" s="1">
        <v>45647</v>
      </c>
      <c r="L124" t="s">
        <v>18</v>
      </c>
      <c r="M124" t="s">
        <v>63</v>
      </c>
      <c r="N124">
        <v>-79.099999999999994</v>
      </c>
      <c r="O124" t="s">
        <v>74</v>
      </c>
      <c r="P124">
        <v>2024</v>
      </c>
      <c r="Q124">
        <f>IF(Nike_Sales_Cleaned[[#This Row],[Revenue]] = 0, 0, Nike_Sales_Cleaned[[#This Row],[Profit]]/Nike_Sales_Cleaned[[#This Row],[Revenue]])</f>
        <v>-1.0416502056962859E-2</v>
      </c>
    </row>
    <row r="125" spans="1:17" x14ac:dyDescent="0.3">
      <c r="A125">
        <v>2563</v>
      </c>
      <c r="B125" t="s">
        <v>27</v>
      </c>
      <c r="C125" t="s">
        <v>16</v>
      </c>
      <c r="D125" t="s">
        <v>29</v>
      </c>
      <c r="E125" t="s">
        <v>13</v>
      </c>
      <c r="F125">
        <v>2</v>
      </c>
      <c r="G125">
        <v>6880.21</v>
      </c>
      <c r="H125">
        <v>0.54</v>
      </c>
      <c r="I125">
        <v>6879.75</v>
      </c>
      <c r="J125">
        <v>13759.5</v>
      </c>
      <c r="K125" s="1">
        <v>45760</v>
      </c>
      <c r="L125" t="s">
        <v>18</v>
      </c>
      <c r="M125" t="s">
        <v>66</v>
      </c>
      <c r="N125">
        <v>2706.61</v>
      </c>
      <c r="O125" t="s">
        <v>75</v>
      </c>
      <c r="P125">
        <v>2025</v>
      </c>
      <c r="Q125">
        <f>IF(Nike_Sales_Cleaned[[#This Row],[Revenue]] = 0, 0, Nike_Sales_Cleaned[[#This Row],[Profit]]/Nike_Sales_Cleaned[[#This Row],[Revenue]])</f>
        <v>0.19670845597587122</v>
      </c>
    </row>
    <row r="126" spans="1:17" x14ac:dyDescent="0.3">
      <c r="A126">
        <v>2565</v>
      </c>
      <c r="B126" t="s">
        <v>15</v>
      </c>
      <c r="C126" t="s">
        <v>20</v>
      </c>
      <c r="D126" t="s">
        <v>45</v>
      </c>
      <c r="E126" t="s">
        <v>25</v>
      </c>
      <c r="F126">
        <v>4</v>
      </c>
      <c r="G126">
        <v>6202.99</v>
      </c>
      <c r="H126">
        <v>0</v>
      </c>
      <c r="I126">
        <v>6201.99</v>
      </c>
      <c r="J126">
        <v>24807.96</v>
      </c>
      <c r="K126" s="1">
        <v>45553</v>
      </c>
      <c r="L126" t="s">
        <v>14</v>
      </c>
      <c r="M126" t="s">
        <v>63</v>
      </c>
      <c r="N126">
        <v>1754.48</v>
      </c>
      <c r="O126" t="s">
        <v>74</v>
      </c>
      <c r="P126">
        <v>2024</v>
      </c>
      <c r="Q126">
        <f>IF(Nike_Sales_Cleaned[[#This Row],[Revenue]] = 0, 0, Nike_Sales_Cleaned[[#This Row],[Profit]]/Nike_Sales_Cleaned[[#This Row],[Revenue]])</f>
        <v>7.0722461661498967E-2</v>
      </c>
    </row>
    <row r="127" spans="1:17" x14ac:dyDescent="0.3">
      <c r="A127">
        <v>2567</v>
      </c>
      <c r="B127" t="s">
        <v>15</v>
      </c>
      <c r="C127" t="s">
        <v>23</v>
      </c>
      <c r="D127" t="s">
        <v>35</v>
      </c>
      <c r="E127" t="s">
        <v>13</v>
      </c>
      <c r="F127">
        <v>3</v>
      </c>
      <c r="G127">
        <v>5282.31</v>
      </c>
      <c r="H127">
        <v>0</v>
      </c>
      <c r="I127">
        <v>5281.31</v>
      </c>
      <c r="J127">
        <v>15843.93</v>
      </c>
      <c r="K127" s="1">
        <v>45550</v>
      </c>
      <c r="L127" t="s">
        <v>14</v>
      </c>
      <c r="M127" t="s">
        <v>62</v>
      </c>
      <c r="N127">
        <v>1162.3</v>
      </c>
      <c r="O127" t="s">
        <v>74</v>
      </c>
      <c r="P127">
        <v>2024</v>
      </c>
      <c r="Q127">
        <f>IF(Nike_Sales_Cleaned[[#This Row],[Revenue]] = 0, 0, Nike_Sales_Cleaned[[#This Row],[Profit]]/Nike_Sales_Cleaned[[#This Row],[Revenue]])</f>
        <v>7.3359324359549671E-2</v>
      </c>
    </row>
    <row r="128" spans="1:17" x14ac:dyDescent="0.3">
      <c r="A128">
        <v>2569</v>
      </c>
      <c r="B128" t="s">
        <v>15</v>
      </c>
      <c r="C128" t="s">
        <v>31</v>
      </c>
      <c r="D128" t="s">
        <v>32</v>
      </c>
      <c r="E128" t="s">
        <v>22</v>
      </c>
      <c r="F128">
        <v>2</v>
      </c>
      <c r="G128">
        <v>5981.92</v>
      </c>
      <c r="H128">
        <v>0.88</v>
      </c>
      <c r="I128">
        <v>5981.8</v>
      </c>
      <c r="J128">
        <v>11963.6</v>
      </c>
      <c r="K128" s="1">
        <v>45528</v>
      </c>
      <c r="L128" t="s">
        <v>14</v>
      </c>
      <c r="M128" t="s">
        <v>61</v>
      </c>
      <c r="N128">
        <v>128.88999999999999</v>
      </c>
      <c r="O128" t="s">
        <v>75</v>
      </c>
      <c r="P128">
        <v>2024</v>
      </c>
      <c r="Q128">
        <f>IF(Nike_Sales_Cleaned[[#This Row],[Revenue]] = 0, 0, Nike_Sales_Cleaned[[#This Row],[Profit]]/Nike_Sales_Cleaned[[#This Row],[Revenue]])</f>
        <v>1.0773512989401181E-2</v>
      </c>
    </row>
    <row r="129" spans="1:17" x14ac:dyDescent="0.3">
      <c r="A129">
        <v>2575</v>
      </c>
      <c r="B129" t="s">
        <v>27</v>
      </c>
      <c r="C129" t="s">
        <v>11</v>
      </c>
      <c r="D129" t="s">
        <v>34</v>
      </c>
      <c r="E129" t="s">
        <v>25</v>
      </c>
      <c r="F129">
        <v>2</v>
      </c>
      <c r="G129">
        <v>6186.9950000000008</v>
      </c>
      <c r="H129">
        <v>0</v>
      </c>
      <c r="I129">
        <v>6185.9950000000008</v>
      </c>
      <c r="J129">
        <v>12371.990000000002</v>
      </c>
      <c r="K129" s="1">
        <v>45841</v>
      </c>
      <c r="L129" t="s">
        <v>14</v>
      </c>
      <c r="M129" t="s">
        <v>61</v>
      </c>
      <c r="N129">
        <v>1982.16</v>
      </c>
      <c r="O129" t="s">
        <v>74</v>
      </c>
      <c r="P129">
        <v>2025</v>
      </c>
      <c r="Q129">
        <f>IF(Nike_Sales_Cleaned[[#This Row],[Revenue]] = 0, 0, Nike_Sales_Cleaned[[#This Row],[Profit]]/Nike_Sales_Cleaned[[#This Row],[Revenue]])</f>
        <v>0.16021351455990507</v>
      </c>
    </row>
    <row r="130" spans="1:17" x14ac:dyDescent="0.3">
      <c r="A130">
        <v>2578</v>
      </c>
      <c r="B130" t="s">
        <v>27</v>
      </c>
      <c r="C130" t="s">
        <v>20</v>
      </c>
      <c r="D130" t="s">
        <v>21</v>
      </c>
      <c r="E130" t="s">
        <v>33</v>
      </c>
      <c r="F130">
        <v>2</v>
      </c>
      <c r="G130">
        <v>4904.79</v>
      </c>
      <c r="H130">
        <v>0</v>
      </c>
      <c r="I130">
        <v>4903.79</v>
      </c>
      <c r="J130">
        <v>9807.58</v>
      </c>
      <c r="K130" s="1">
        <v>45787</v>
      </c>
      <c r="L130" t="s">
        <v>18</v>
      </c>
      <c r="M130" t="s">
        <v>64</v>
      </c>
      <c r="N130">
        <v>3550</v>
      </c>
      <c r="O130" t="s">
        <v>74</v>
      </c>
      <c r="P130">
        <v>2025</v>
      </c>
      <c r="Q130">
        <f>IF(Nike_Sales_Cleaned[[#This Row],[Revenue]] = 0, 0, Nike_Sales_Cleaned[[#This Row],[Profit]]/Nike_Sales_Cleaned[[#This Row],[Revenue]])</f>
        <v>0.36196492916703205</v>
      </c>
    </row>
    <row r="131" spans="1:17" x14ac:dyDescent="0.3">
      <c r="A131">
        <v>2579</v>
      </c>
      <c r="B131" t="s">
        <v>10</v>
      </c>
      <c r="C131" t="s">
        <v>20</v>
      </c>
      <c r="D131" t="s">
        <v>45</v>
      </c>
      <c r="E131" t="s">
        <v>44</v>
      </c>
      <c r="F131">
        <v>3</v>
      </c>
      <c r="G131">
        <v>6202.99</v>
      </c>
      <c r="H131">
        <v>0</v>
      </c>
      <c r="I131">
        <v>6201.99</v>
      </c>
      <c r="J131">
        <v>18605.97</v>
      </c>
      <c r="K131" s="1">
        <v>45499</v>
      </c>
      <c r="L131" t="s">
        <v>14</v>
      </c>
      <c r="M131" t="s">
        <v>65</v>
      </c>
      <c r="N131">
        <v>589.29999999999995</v>
      </c>
      <c r="O131" t="s">
        <v>74</v>
      </c>
      <c r="P131">
        <v>2024</v>
      </c>
      <c r="Q131">
        <f>IF(Nike_Sales_Cleaned[[#This Row],[Revenue]] = 0, 0, Nike_Sales_Cleaned[[#This Row],[Profit]]/Nike_Sales_Cleaned[[#This Row],[Revenue]])</f>
        <v>3.1672629806454591E-2</v>
      </c>
    </row>
    <row r="132" spans="1:17" x14ac:dyDescent="0.3">
      <c r="A132">
        <v>2580</v>
      </c>
      <c r="B132" t="s">
        <v>10</v>
      </c>
      <c r="C132" t="s">
        <v>11</v>
      </c>
      <c r="D132" t="s">
        <v>26</v>
      </c>
      <c r="E132" t="s">
        <v>13</v>
      </c>
      <c r="F132">
        <v>1</v>
      </c>
      <c r="G132">
        <v>5649.73</v>
      </c>
      <c r="H132">
        <v>0</v>
      </c>
      <c r="I132">
        <v>5648.73</v>
      </c>
      <c r="J132">
        <v>5648.73</v>
      </c>
      <c r="K132" s="1">
        <v>45632</v>
      </c>
      <c r="L132" t="s">
        <v>18</v>
      </c>
      <c r="M132" t="s">
        <v>66</v>
      </c>
      <c r="N132">
        <v>2978.85</v>
      </c>
      <c r="O132" t="s">
        <v>74</v>
      </c>
      <c r="P132">
        <v>2024</v>
      </c>
      <c r="Q132">
        <f>IF(Nike_Sales_Cleaned[[#This Row],[Revenue]] = 0, 0, Nike_Sales_Cleaned[[#This Row],[Profit]]/Nike_Sales_Cleaned[[#This Row],[Revenue]])</f>
        <v>0.52734862526621029</v>
      </c>
    </row>
    <row r="133" spans="1:17" x14ac:dyDescent="0.3">
      <c r="A133">
        <v>2589</v>
      </c>
      <c r="B133" t="s">
        <v>27</v>
      </c>
      <c r="C133" t="s">
        <v>11</v>
      </c>
      <c r="D133" t="s">
        <v>34</v>
      </c>
      <c r="E133" t="s">
        <v>13</v>
      </c>
      <c r="F133">
        <v>3</v>
      </c>
      <c r="G133">
        <v>6186.9950000000008</v>
      </c>
      <c r="H133">
        <v>0</v>
      </c>
      <c r="I133">
        <v>6185.9950000000008</v>
      </c>
      <c r="J133">
        <v>18557.985000000001</v>
      </c>
      <c r="K133" s="1">
        <v>45552</v>
      </c>
      <c r="L133" t="s">
        <v>14</v>
      </c>
      <c r="M133" t="s">
        <v>66</v>
      </c>
      <c r="N133">
        <v>1429.18</v>
      </c>
      <c r="O133" t="s">
        <v>74</v>
      </c>
      <c r="P133">
        <v>2024</v>
      </c>
      <c r="Q133">
        <f>IF(Nike_Sales_Cleaned[[#This Row],[Revenue]] = 0, 0, Nike_Sales_Cleaned[[#This Row],[Profit]]/Nike_Sales_Cleaned[[#This Row],[Revenue]])</f>
        <v>7.7011593661704111E-2</v>
      </c>
    </row>
    <row r="134" spans="1:17" x14ac:dyDescent="0.3">
      <c r="A134">
        <v>2594</v>
      </c>
      <c r="B134" t="s">
        <v>15</v>
      </c>
      <c r="C134" t="s">
        <v>11</v>
      </c>
      <c r="D134" t="s">
        <v>41</v>
      </c>
      <c r="E134" t="s">
        <v>25</v>
      </c>
      <c r="F134">
        <v>3</v>
      </c>
      <c r="G134">
        <v>7594.7199999999993</v>
      </c>
      <c r="H134">
        <v>0.67</v>
      </c>
      <c r="I134">
        <v>7594.3899999999994</v>
      </c>
      <c r="J134">
        <v>22783.17</v>
      </c>
      <c r="K134" s="1">
        <v>45345</v>
      </c>
      <c r="L134" t="s">
        <v>18</v>
      </c>
      <c r="M134" t="s">
        <v>61</v>
      </c>
      <c r="N134">
        <v>1534.91</v>
      </c>
      <c r="O134" t="s">
        <v>75</v>
      </c>
      <c r="P134">
        <v>2024</v>
      </c>
      <c r="Q134">
        <f>IF(Nike_Sales_Cleaned[[#This Row],[Revenue]] = 0, 0, Nike_Sales_Cleaned[[#This Row],[Profit]]/Nike_Sales_Cleaned[[#This Row],[Revenue]])</f>
        <v>6.73703439863724E-2</v>
      </c>
    </row>
    <row r="135" spans="1:17" x14ac:dyDescent="0.3">
      <c r="A135">
        <v>2600</v>
      </c>
      <c r="B135" t="s">
        <v>10</v>
      </c>
      <c r="C135" t="s">
        <v>20</v>
      </c>
      <c r="D135" t="s">
        <v>47</v>
      </c>
      <c r="E135" t="s">
        <v>13</v>
      </c>
      <c r="F135">
        <v>3</v>
      </c>
      <c r="G135">
        <v>6010.71</v>
      </c>
      <c r="H135">
        <v>0</v>
      </c>
      <c r="I135">
        <v>6009.71</v>
      </c>
      <c r="J135">
        <v>18029.13</v>
      </c>
      <c r="K135" s="1">
        <v>45600</v>
      </c>
      <c r="L135" t="s">
        <v>14</v>
      </c>
      <c r="M135" t="s">
        <v>62</v>
      </c>
      <c r="N135">
        <v>803.62</v>
      </c>
      <c r="O135" t="s">
        <v>74</v>
      </c>
      <c r="P135">
        <v>2024</v>
      </c>
      <c r="Q135">
        <f>IF(Nike_Sales_Cleaned[[#This Row],[Revenue]] = 0, 0, Nike_Sales_Cleaned[[#This Row],[Profit]]/Nike_Sales_Cleaned[[#This Row],[Revenue]])</f>
        <v>4.4573420902727971E-2</v>
      </c>
    </row>
    <row r="136" spans="1:17" x14ac:dyDescent="0.3">
      <c r="A136">
        <v>2601</v>
      </c>
      <c r="B136" t="s">
        <v>15</v>
      </c>
      <c r="C136" t="s">
        <v>16</v>
      </c>
      <c r="D136" t="s">
        <v>17</v>
      </c>
      <c r="E136" t="s">
        <v>25</v>
      </c>
      <c r="F136">
        <v>1</v>
      </c>
      <c r="G136">
        <v>5234.1550000000007</v>
      </c>
      <c r="H136">
        <v>0</v>
      </c>
      <c r="I136">
        <v>5233.1550000000007</v>
      </c>
      <c r="J136">
        <v>5233.1550000000007</v>
      </c>
      <c r="K136" s="1">
        <v>45562</v>
      </c>
      <c r="L136" t="s">
        <v>18</v>
      </c>
      <c r="M136" t="s">
        <v>65</v>
      </c>
      <c r="N136">
        <v>3739.4</v>
      </c>
      <c r="O136" t="s">
        <v>74</v>
      </c>
      <c r="P136">
        <v>2024</v>
      </c>
      <c r="Q136">
        <f>IF(Nike_Sales_Cleaned[[#This Row],[Revenue]] = 0, 0, Nike_Sales_Cleaned[[#This Row],[Profit]]/Nike_Sales_Cleaned[[#This Row],[Revenue]])</f>
        <v>0.71455938148210774</v>
      </c>
    </row>
    <row r="137" spans="1:17" x14ac:dyDescent="0.3">
      <c r="A137">
        <v>2602</v>
      </c>
      <c r="B137" t="s">
        <v>10</v>
      </c>
      <c r="C137" t="s">
        <v>23</v>
      </c>
      <c r="D137" t="s">
        <v>37</v>
      </c>
      <c r="E137" t="s">
        <v>25</v>
      </c>
      <c r="F137">
        <v>2</v>
      </c>
      <c r="G137">
        <v>5620.64</v>
      </c>
      <c r="H137">
        <v>0</v>
      </c>
      <c r="I137">
        <v>5619.64</v>
      </c>
      <c r="J137">
        <v>11239.28</v>
      </c>
      <c r="K137" s="1">
        <v>45613</v>
      </c>
      <c r="L137" t="s">
        <v>14</v>
      </c>
      <c r="M137" t="s">
        <v>62</v>
      </c>
      <c r="N137">
        <v>3494.88</v>
      </c>
      <c r="O137" t="s">
        <v>74</v>
      </c>
      <c r="P137">
        <v>2024</v>
      </c>
      <c r="Q137">
        <f>IF(Nike_Sales_Cleaned[[#This Row],[Revenue]] = 0, 0, Nike_Sales_Cleaned[[#This Row],[Profit]]/Nike_Sales_Cleaned[[#This Row],[Revenue]])</f>
        <v>0.31095230299449789</v>
      </c>
    </row>
    <row r="138" spans="1:17" x14ac:dyDescent="0.3">
      <c r="A138">
        <v>2615</v>
      </c>
      <c r="B138" t="s">
        <v>15</v>
      </c>
      <c r="C138" t="s">
        <v>16</v>
      </c>
      <c r="D138" t="s">
        <v>42</v>
      </c>
      <c r="E138" t="s">
        <v>25</v>
      </c>
      <c r="F138">
        <v>3</v>
      </c>
      <c r="G138">
        <v>5940.3850000000002</v>
      </c>
      <c r="H138">
        <v>0.12</v>
      </c>
      <c r="I138">
        <v>5939.5050000000001</v>
      </c>
      <c r="J138">
        <v>17818.514999999999</v>
      </c>
      <c r="K138" s="1">
        <v>45740</v>
      </c>
      <c r="L138" t="s">
        <v>14</v>
      </c>
      <c r="M138" t="s">
        <v>62</v>
      </c>
      <c r="N138">
        <v>2105.48</v>
      </c>
      <c r="O138" t="s">
        <v>76</v>
      </c>
      <c r="P138">
        <v>2025</v>
      </c>
      <c r="Q138">
        <f>IF(Nike_Sales_Cleaned[[#This Row],[Revenue]] = 0, 0, Nike_Sales_Cleaned[[#This Row],[Profit]]/Nike_Sales_Cleaned[[#This Row],[Revenue]])</f>
        <v>0.11816248435966746</v>
      </c>
    </row>
    <row r="139" spans="1:17" x14ac:dyDescent="0.3">
      <c r="A139">
        <v>2619</v>
      </c>
      <c r="B139" t="s">
        <v>10</v>
      </c>
      <c r="C139" t="s">
        <v>20</v>
      </c>
      <c r="D139" t="s">
        <v>30</v>
      </c>
      <c r="E139" t="s">
        <v>22</v>
      </c>
      <c r="F139">
        <v>4</v>
      </c>
      <c r="G139">
        <v>6216.29</v>
      </c>
      <c r="H139">
        <v>0.65</v>
      </c>
      <c r="I139">
        <v>6215.94</v>
      </c>
      <c r="J139">
        <v>24863.759999999998</v>
      </c>
      <c r="K139" s="1">
        <v>45313</v>
      </c>
      <c r="L139" t="s">
        <v>14</v>
      </c>
      <c r="M139" t="s">
        <v>61</v>
      </c>
      <c r="N139">
        <v>-300.27999999999997</v>
      </c>
      <c r="O139" t="s">
        <v>75</v>
      </c>
      <c r="P139">
        <v>2024</v>
      </c>
      <c r="Q139">
        <f>IF(Nike_Sales_Cleaned[[#This Row],[Revenue]] = 0, 0, Nike_Sales_Cleaned[[#This Row],[Profit]]/Nike_Sales_Cleaned[[#This Row],[Revenue]])</f>
        <v>-1.2077014900401226E-2</v>
      </c>
    </row>
    <row r="140" spans="1:17" x14ac:dyDescent="0.3">
      <c r="A140">
        <v>2621</v>
      </c>
      <c r="B140" t="s">
        <v>10</v>
      </c>
      <c r="C140" t="s">
        <v>16</v>
      </c>
      <c r="D140" t="s">
        <v>42</v>
      </c>
      <c r="E140" t="s">
        <v>22</v>
      </c>
      <c r="F140">
        <v>3</v>
      </c>
      <c r="G140">
        <v>5940.3850000000002</v>
      </c>
      <c r="H140">
        <v>0.59</v>
      </c>
      <c r="I140">
        <v>5939.9750000000004</v>
      </c>
      <c r="J140">
        <v>17819.925000000003</v>
      </c>
      <c r="K140" s="1">
        <v>45431</v>
      </c>
      <c r="L140" t="s">
        <v>14</v>
      </c>
      <c r="M140" t="s">
        <v>64</v>
      </c>
      <c r="N140">
        <v>-1152.8599999999999</v>
      </c>
      <c r="O140" t="s">
        <v>75</v>
      </c>
      <c r="P140">
        <v>2024</v>
      </c>
      <c r="Q140">
        <f>IF(Nike_Sales_Cleaned[[#This Row],[Revenue]] = 0, 0, Nike_Sales_Cleaned[[#This Row],[Profit]]/Nike_Sales_Cleaned[[#This Row],[Revenue]])</f>
        <v>-6.4694997313400573E-2</v>
      </c>
    </row>
    <row r="141" spans="1:17" x14ac:dyDescent="0.3">
      <c r="A141">
        <v>2628</v>
      </c>
      <c r="B141" t="s">
        <v>10</v>
      </c>
      <c r="C141" t="s">
        <v>31</v>
      </c>
      <c r="D141" t="s">
        <v>38</v>
      </c>
      <c r="E141" t="s">
        <v>22</v>
      </c>
      <c r="F141">
        <v>4</v>
      </c>
      <c r="G141">
        <v>5117.8649999999998</v>
      </c>
      <c r="H141">
        <v>0.44</v>
      </c>
      <c r="I141">
        <v>5117.3049999999994</v>
      </c>
      <c r="J141">
        <v>20469.219999999998</v>
      </c>
      <c r="K141" s="1">
        <v>45837</v>
      </c>
      <c r="L141" t="s">
        <v>18</v>
      </c>
      <c r="M141" t="s">
        <v>62</v>
      </c>
      <c r="N141">
        <v>-348.88</v>
      </c>
      <c r="O141" t="s">
        <v>77</v>
      </c>
      <c r="P141">
        <v>2025</v>
      </c>
      <c r="Q141">
        <f>IF(Nike_Sales_Cleaned[[#This Row],[Revenue]] = 0, 0, Nike_Sales_Cleaned[[#This Row],[Profit]]/Nike_Sales_Cleaned[[#This Row],[Revenue]])</f>
        <v>-1.7044127719571145E-2</v>
      </c>
    </row>
    <row r="142" spans="1:17" x14ac:dyDescent="0.3">
      <c r="A142">
        <v>2638</v>
      </c>
      <c r="B142" t="s">
        <v>27</v>
      </c>
      <c r="C142" t="s">
        <v>16</v>
      </c>
      <c r="D142" t="s">
        <v>19</v>
      </c>
      <c r="E142" t="s">
        <v>49</v>
      </c>
      <c r="F142">
        <v>1</v>
      </c>
      <c r="G142">
        <v>5178.83</v>
      </c>
      <c r="H142">
        <v>0</v>
      </c>
      <c r="I142">
        <v>5177.83</v>
      </c>
      <c r="J142">
        <v>5177.83</v>
      </c>
      <c r="K142" s="1">
        <v>45313</v>
      </c>
      <c r="L142" t="s">
        <v>14</v>
      </c>
      <c r="M142" t="s">
        <v>62</v>
      </c>
      <c r="N142">
        <v>654.11</v>
      </c>
      <c r="O142" t="s">
        <v>74</v>
      </c>
      <c r="P142">
        <v>2024</v>
      </c>
      <c r="Q142">
        <f>IF(Nike_Sales_Cleaned[[#This Row],[Revenue]] = 0, 0, Nike_Sales_Cleaned[[#This Row],[Profit]]/Nike_Sales_Cleaned[[#This Row],[Revenue]])</f>
        <v>0.12632898337720627</v>
      </c>
    </row>
    <row r="143" spans="1:17" x14ac:dyDescent="0.3">
      <c r="A143">
        <v>2640</v>
      </c>
      <c r="B143" t="s">
        <v>10</v>
      </c>
      <c r="C143" t="s">
        <v>11</v>
      </c>
      <c r="D143" t="s">
        <v>41</v>
      </c>
      <c r="E143" t="s">
        <v>33</v>
      </c>
      <c r="F143">
        <v>2</v>
      </c>
      <c r="G143">
        <v>7594.7199999999993</v>
      </c>
      <c r="H143">
        <v>0</v>
      </c>
      <c r="I143">
        <v>7593.7199999999993</v>
      </c>
      <c r="J143">
        <v>15187.439999999999</v>
      </c>
      <c r="K143" s="1">
        <v>45506</v>
      </c>
      <c r="L143" t="s">
        <v>14</v>
      </c>
      <c r="M143" t="s">
        <v>64</v>
      </c>
      <c r="N143">
        <v>861.92</v>
      </c>
      <c r="O143" t="s">
        <v>74</v>
      </c>
      <c r="P143">
        <v>2024</v>
      </c>
      <c r="Q143">
        <f>IF(Nike_Sales_Cleaned[[#This Row],[Revenue]] = 0, 0, Nike_Sales_Cleaned[[#This Row],[Profit]]/Nike_Sales_Cleaned[[#This Row],[Revenue]])</f>
        <v>5.6752158362436328E-2</v>
      </c>
    </row>
    <row r="144" spans="1:17" x14ac:dyDescent="0.3">
      <c r="A144">
        <v>2022</v>
      </c>
      <c r="B144" t="s">
        <v>10</v>
      </c>
      <c r="C144" t="s">
        <v>11</v>
      </c>
      <c r="D144" t="s">
        <v>41</v>
      </c>
      <c r="E144" t="s">
        <v>22</v>
      </c>
      <c r="F144">
        <v>3</v>
      </c>
      <c r="G144">
        <v>7594.7199999999993</v>
      </c>
      <c r="H144">
        <v>0</v>
      </c>
      <c r="I144">
        <v>7593.7199999999993</v>
      </c>
      <c r="J144">
        <v>22781.159999999996</v>
      </c>
      <c r="K144" s="1">
        <v>45623</v>
      </c>
      <c r="L144" t="s">
        <v>18</v>
      </c>
      <c r="M144" t="s">
        <v>63</v>
      </c>
      <c r="N144">
        <v>689.62</v>
      </c>
      <c r="O144" t="s">
        <v>74</v>
      </c>
      <c r="P144">
        <v>2024</v>
      </c>
      <c r="Q144">
        <f>IF(Nike_Sales_Cleaned[[#This Row],[Revenue]] = 0, 0, Nike_Sales_Cleaned[[#This Row],[Profit]]/Nike_Sales_Cleaned[[#This Row],[Revenue]])</f>
        <v>3.0271505050664678E-2</v>
      </c>
    </row>
    <row r="145" spans="1:17" x14ac:dyDescent="0.3">
      <c r="A145">
        <v>2646</v>
      </c>
      <c r="B145" t="s">
        <v>27</v>
      </c>
      <c r="C145" t="s">
        <v>16</v>
      </c>
      <c r="D145" t="s">
        <v>19</v>
      </c>
      <c r="E145" t="s">
        <v>25</v>
      </c>
      <c r="F145">
        <v>1</v>
      </c>
      <c r="G145">
        <v>5178.83</v>
      </c>
      <c r="H145">
        <v>0.89</v>
      </c>
      <c r="I145">
        <v>5178.72</v>
      </c>
      <c r="J145">
        <v>5178.72</v>
      </c>
      <c r="K145" s="1">
        <v>45585</v>
      </c>
      <c r="L145" t="s">
        <v>18</v>
      </c>
      <c r="M145" t="s">
        <v>66</v>
      </c>
      <c r="N145">
        <v>2676.52</v>
      </c>
      <c r="O145" t="s">
        <v>75</v>
      </c>
      <c r="P145">
        <v>2024</v>
      </c>
      <c r="Q145">
        <f>IF(Nike_Sales_Cleaned[[#This Row],[Revenue]] = 0, 0, Nike_Sales_Cleaned[[#This Row],[Profit]]/Nike_Sales_Cleaned[[#This Row],[Revenue]])</f>
        <v>0.5168304136929589</v>
      </c>
    </row>
    <row r="146" spans="1:17" x14ac:dyDescent="0.3">
      <c r="A146">
        <v>2651</v>
      </c>
      <c r="B146" t="s">
        <v>10</v>
      </c>
      <c r="C146" t="s">
        <v>31</v>
      </c>
      <c r="D146" t="s">
        <v>32</v>
      </c>
      <c r="E146" t="s">
        <v>22</v>
      </c>
      <c r="F146">
        <v>1</v>
      </c>
      <c r="G146">
        <v>5981.92</v>
      </c>
      <c r="H146">
        <v>0</v>
      </c>
      <c r="I146">
        <v>5980.92</v>
      </c>
      <c r="J146">
        <v>5980.92</v>
      </c>
      <c r="K146" s="1">
        <v>45592</v>
      </c>
      <c r="L146" t="s">
        <v>14</v>
      </c>
      <c r="M146" t="s">
        <v>66</v>
      </c>
      <c r="N146">
        <v>-819.33</v>
      </c>
      <c r="O146" t="s">
        <v>74</v>
      </c>
      <c r="P146">
        <v>2024</v>
      </c>
      <c r="Q146">
        <f>IF(Nike_Sales_Cleaned[[#This Row],[Revenue]] = 0, 0, Nike_Sales_Cleaned[[#This Row],[Profit]]/Nike_Sales_Cleaned[[#This Row],[Revenue]])</f>
        <v>-0.13699063020404889</v>
      </c>
    </row>
    <row r="147" spans="1:17" x14ac:dyDescent="0.3">
      <c r="A147">
        <v>2657</v>
      </c>
      <c r="B147" t="s">
        <v>10</v>
      </c>
      <c r="C147" t="s">
        <v>23</v>
      </c>
      <c r="D147" t="s">
        <v>35</v>
      </c>
      <c r="E147" t="s">
        <v>13</v>
      </c>
      <c r="F147">
        <v>4</v>
      </c>
      <c r="G147">
        <v>5282.31</v>
      </c>
      <c r="H147">
        <v>0</v>
      </c>
      <c r="I147">
        <v>5281.31</v>
      </c>
      <c r="J147">
        <v>21125.24</v>
      </c>
      <c r="K147" s="1">
        <v>45754</v>
      </c>
      <c r="L147" t="s">
        <v>14</v>
      </c>
      <c r="M147" t="s">
        <v>65</v>
      </c>
      <c r="N147">
        <v>494.45</v>
      </c>
      <c r="O147" t="s">
        <v>74</v>
      </c>
      <c r="P147">
        <v>2025</v>
      </c>
      <c r="Q147">
        <f>IF(Nike_Sales_Cleaned[[#This Row],[Revenue]] = 0, 0, Nike_Sales_Cleaned[[#This Row],[Profit]]/Nike_Sales_Cleaned[[#This Row],[Revenue]])</f>
        <v>2.3405651249405923E-2</v>
      </c>
    </row>
    <row r="148" spans="1:17" x14ac:dyDescent="0.3">
      <c r="A148">
        <v>2658</v>
      </c>
      <c r="B148" t="s">
        <v>15</v>
      </c>
      <c r="C148" t="s">
        <v>20</v>
      </c>
      <c r="D148" t="s">
        <v>45</v>
      </c>
      <c r="E148" t="s">
        <v>22</v>
      </c>
      <c r="F148">
        <v>1</v>
      </c>
      <c r="G148">
        <v>6202.99</v>
      </c>
      <c r="H148">
        <v>0</v>
      </c>
      <c r="I148">
        <v>6201.99</v>
      </c>
      <c r="J148">
        <v>6201.99</v>
      </c>
      <c r="K148" s="1">
        <v>45773</v>
      </c>
      <c r="L148" t="s">
        <v>14</v>
      </c>
      <c r="M148" t="s">
        <v>65</v>
      </c>
      <c r="N148">
        <v>155.53</v>
      </c>
      <c r="O148" t="s">
        <v>74</v>
      </c>
      <c r="P148">
        <v>2025</v>
      </c>
      <c r="Q148">
        <f>IF(Nike_Sales_Cleaned[[#This Row],[Revenue]] = 0, 0, Nike_Sales_Cleaned[[#This Row],[Profit]]/Nike_Sales_Cleaned[[#This Row],[Revenue]])</f>
        <v>2.5077434823338962E-2</v>
      </c>
    </row>
    <row r="149" spans="1:17" x14ac:dyDescent="0.3">
      <c r="A149">
        <v>2663</v>
      </c>
      <c r="B149" t="s">
        <v>10</v>
      </c>
      <c r="C149" t="s">
        <v>11</v>
      </c>
      <c r="D149" t="s">
        <v>34</v>
      </c>
      <c r="E149" t="s">
        <v>22</v>
      </c>
      <c r="F149">
        <v>2</v>
      </c>
      <c r="G149">
        <v>6186.9950000000008</v>
      </c>
      <c r="H149">
        <v>0.43</v>
      </c>
      <c r="I149">
        <v>6186.4250000000011</v>
      </c>
      <c r="J149">
        <v>12372.850000000002</v>
      </c>
      <c r="K149" s="1">
        <v>45825</v>
      </c>
      <c r="L149" t="s">
        <v>18</v>
      </c>
      <c r="M149" t="s">
        <v>65</v>
      </c>
      <c r="N149">
        <v>3174.81</v>
      </c>
      <c r="O149" t="s">
        <v>77</v>
      </c>
      <c r="P149">
        <v>2025</v>
      </c>
      <c r="Q149">
        <f>IF(Nike_Sales_Cleaned[[#This Row],[Revenue]] = 0, 0, Nike_Sales_Cleaned[[#This Row],[Profit]]/Nike_Sales_Cleaned[[#This Row],[Revenue]])</f>
        <v>0.25659488315141615</v>
      </c>
    </row>
    <row r="150" spans="1:17" x14ac:dyDescent="0.3">
      <c r="A150">
        <v>2664</v>
      </c>
      <c r="B150" t="s">
        <v>10</v>
      </c>
      <c r="C150" t="s">
        <v>23</v>
      </c>
      <c r="D150" t="s">
        <v>43</v>
      </c>
      <c r="E150" t="s">
        <v>22</v>
      </c>
      <c r="F150">
        <v>2</v>
      </c>
      <c r="G150">
        <v>6577.39</v>
      </c>
      <c r="H150">
        <v>0</v>
      </c>
      <c r="I150">
        <v>6576.39</v>
      </c>
      <c r="J150">
        <v>13152.78</v>
      </c>
      <c r="K150" s="1">
        <v>45637</v>
      </c>
      <c r="L150" t="s">
        <v>14</v>
      </c>
      <c r="M150" t="s">
        <v>63</v>
      </c>
      <c r="N150">
        <v>1726.8</v>
      </c>
      <c r="O150" t="s">
        <v>74</v>
      </c>
      <c r="P150">
        <v>2024</v>
      </c>
      <c r="Q150">
        <f>IF(Nike_Sales_Cleaned[[#This Row],[Revenue]] = 0, 0, Nike_Sales_Cleaned[[#This Row],[Profit]]/Nike_Sales_Cleaned[[#This Row],[Revenue]])</f>
        <v>0.1312878342069129</v>
      </c>
    </row>
    <row r="151" spans="1:17" x14ac:dyDescent="0.3">
      <c r="A151">
        <v>2667</v>
      </c>
      <c r="B151" t="s">
        <v>15</v>
      </c>
      <c r="C151" t="s">
        <v>20</v>
      </c>
      <c r="D151" t="s">
        <v>47</v>
      </c>
      <c r="E151" t="s">
        <v>25</v>
      </c>
      <c r="F151">
        <v>3</v>
      </c>
      <c r="G151">
        <v>6010.71</v>
      </c>
      <c r="H151">
        <v>0</v>
      </c>
      <c r="I151">
        <v>6009.71</v>
      </c>
      <c r="J151">
        <v>18029.13</v>
      </c>
      <c r="K151" s="1">
        <v>45739</v>
      </c>
      <c r="L151" t="s">
        <v>14</v>
      </c>
      <c r="M151" t="s">
        <v>65</v>
      </c>
      <c r="N151">
        <v>-623.95000000000005</v>
      </c>
      <c r="O151" t="s">
        <v>74</v>
      </c>
      <c r="P151">
        <v>2025</v>
      </c>
      <c r="Q151">
        <f>IF(Nike_Sales_Cleaned[[#This Row],[Revenue]] = 0, 0, Nike_Sales_Cleaned[[#This Row],[Profit]]/Nike_Sales_Cleaned[[#This Row],[Revenue]])</f>
        <v>-3.4607881800175606E-2</v>
      </c>
    </row>
    <row r="152" spans="1:17" x14ac:dyDescent="0.3">
      <c r="A152">
        <v>2027</v>
      </c>
      <c r="B152" t="s">
        <v>27</v>
      </c>
      <c r="C152" t="s">
        <v>16</v>
      </c>
      <c r="D152" t="s">
        <v>19</v>
      </c>
      <c r="E152" t="s">
        <v>40</v>
      </c>
      <c r="F152">
        <v>4</v>
      </c>
      <c r="G152">
        <v>5178.83</v>
      </c>
      <c r="H152">
        <v>0</v>
      </c>
      <c r="I152">
        <v>5177.83</v>
      </c>
      <c r="J152">
        <v>20711.32</v>
      </c>
      <c r="K152" s="1">
        <v>45823</v>
      </c>
      <c r="L152" t="s">
        <v>18</v>
      </c>
      <c r="M152" t="s">
        <v>65</v>
      </c>
      <c r="N152">
        <v>3951.42</v>
      </c>
      <c r="O152" t="s">
        <v>74</v>
      </c>
      <c r="P152">
        <v>2025</v>
      </c>
      <c r="Q152">
        <f>IF(Nike_Sales_Cleaned[[#This Row],[Revenue]] = 0, 0, Nike_Sales_Cleaned[[#This Row],[Profit]]/Nike_Sales_Cleaned[[#This Row],[Revenue]])</f>
        <v>0.19078552212027047</v>
      </c>
    </row>
    <row r="153" spans="1:17" x14ac:dyDescent="0.3">
      <c r="A153">
        <v>2672</v>
      </c>
      <c r="B153" t="s">
        <v>15</v>
      </c>
      <c r="C153" t="s">
        <v>20</v>
      </c>
      <c r="D153" t="s">
        <v>47</v>
      </c>
      <c r="E153" t="s">
        <v>25</v>
      </c>
      <c r="F153">
        <v>2</v>
      </c>
      <c r="G153">
        <v>6010.71</v>
      </c>
      <c r="H153">
        <v>0</v>
      </c>
      <c r="I153">
        <v>6009.71</v>
      </c>
      <c r="J153">
        <v>12019.42</v>
      </c>
      <c r="K153" s="1">
        <v>45508</v>
      </c>
      <c r="L153" t="s">
        <v>14</v>
      </c>
      <c r="M153" t="s">
        <v>63</v>
      </c>
      <c r="N153">
        <v>67.58</v>
      </c>
      <c r="O153" t="s">
        <v>74</v>
      </c>
      <c r="P153">
        <v>2024</v>
      </c>
      <c r="Q153">
        <f>IF(Nike_Sales_Cleaned[[#This Row],[Revenue]] = 0, 0, Nike_Sales_Cleaned[[#This Row],[Profit]]/Nike_Sales_Cleaned[[#This Row],[Revenue]])</f>
        <v>5.6225674782976213E-3</v>
      </c>
    </row>
    <row r="154" spans="1:17" x14ac:dyDescent="0.3">
      <c r="A154">
        <v>2675</v>
      </c>
      <c r="B154" t="s">
        <v>15</v>
      </c>
      <c r="C154" t="s">
        <v>16</v>
      </c>
      <c r="D154" t="s">
        <v>19</v>
      </c>
      <c r="E154" t="s">
        <v>40</v>
      </c>
      <c r="F154">
        <v>3</v>
      </c>
      <c r="G154">
        <v>5178.83</v>
      </c>
      <c r="H154">
        <v>0</v>
      </c>
      <c r="I154">
        <v>5177.83</v>
      </c>
      <c r="J154">
        <v>15533.49</v>
      </c>
      <c r="K154" s="1">
        <v>45751</v>
      </c>
      <c r="L154" t="s">
        <v>14</v>
      </c>
      <c r="M154" t="s">
        <v>61</v>
      </c>
      <c r="N154">
        <v>2731.71</v>
      </c>
      <c r="O154" t="s">
        <v>74</v>
      </c>
      <c r="P154">
        <v>2025</v>
      </c>
      <c r="Q154">
        <f>IF(Nike_Sales_Cleaned[[#This Row],[Revenue]] = 0, 0, Nike_Sales_Cleaned[[#This Row],[Profit]]/Nike_Sales_Cleaned[[#This Row],[Revenue]])</f>
        <v>0.17585938510920598</v>
      </c>
    </row>
    <row r="155" spans="1:17" x14ac:dyDescent="0.3">
      <c r="A155">
        <v>2682</v>
      </c>
      <c r="B155" t="s">
        <v>27</v>
      </c>
      <c r="C155" t="s">
        <v>31</v>
      </c>
      <c r="D155" t="s">
        <v>48</v>
      </c>
      <c r="E155" t="s">
        <v>25</v>
      </c>
      <c r="F155">
        <v>4</v>
      </c>
      <c r="G155">
        <v>5355.64</v>
      </c>
      <c r="H155">
        <v>0.41</v>
      </c>
      <c r="I155">
        <v>5355.05</v>
      </c>
      <c r="J155">
        <v>21420.2</v>
      </c>
      <c r="K155" s="1">
        <v>45532</v>
      </c>
      <c r="L155" t="s">
        <v>18</v>
      </c>
      <c r="M155" t="s">
        <v>62</v>
      </c>
      <c r="N155">
        <v>3614.76</v>
      </c>
      <c r="O155" t="s">
        <v>77</v>
      </c>
      <c r="P155">
        <v>2024</v>
      </c>
      <c r="Q155">
        <f>IF(Nike_Sales_Cleaned[[#This Row],[Revenue]] = 0, 0, Nike_Sales_Cleaned[[#This Row],[Profit]]/Nike_Sales_Cleaned[[#This Row],[Revenue]])</f>
        <v>0.16875472684662141</v>
      </c>
    </row>
    <row r="156" spans="1:17" x14ac:dyDescent="0.3">
      <c r="A156">
        <v>2683</v>
      </c>
      <c r="B156" t="s">
        <v>10</v>
      </c>
      <c r="C156" t="s">
        <v>20</v>
      </c>
      <c r="D156" t="s">
        <v>45</v>
      </c>
      <c r="E156" t="s">
        <v>25</v>
      </c>
      <c r="F156">
        <v>1</v>
      </c>
      <c r="G156">
        <v>6202.99</v>
      </c>
      <c r="H156">
        <v>0</v>
      </c>
      <c r="I156">
        <v>6201.99</v>
      </c>
      <c r="J156">
        <v>6201.99</v>
      </c>
      <c r="K156" s="1">
        <v>45820</v>
      </c>
      <c r="L156" t="s">
        <v>14</v>
      </c>
      <c r="M156" t="s">
        <v>63</v>
      </c>
      <c r="N156">
        <v>1119.71</v>
      </c>
      <c r="O156" t="s">
        <v>74</v>
      </c>
      <c r="P156">
        <v>2025</v>
      </c>
      <c r="Q156">
        <f>IF(Nike_Sales_Cleaned[[#This Row],[Revenue]] = 0, 0, Nike_Sales_Cleaned[[#This Row],[Profit]]/Nike_Sales_Cleaned[[#This Row],[Revenue]])</f>
        <v>0.18054043943959924</v>
      </c>
    </row>
    <row r="157" spans="1:17" x14ac:dyDescent="0.3">
      <c r="A157">
        <v>2685</v>
      </c>
      <c r="B157" t="s">
        <v>10</v>
      </c>
      <c r="C157" t="s">
        <v>20</v>
      </c>
      <c r="D157" t="s">
        <v>45</v>
      </c>
      <c r="E157" t="s">
        <v>13</v>
      </c>
      <c r="F157">
        <v>4</v>
      </c>
      <c r="G157">
        <v>6202.99</v>
      </c>
      <c r="H157">
        <v>0</v>
      </c>
      <c r="I157">
        <v>6201.99</v>
      </c>
      <c r="J157">
        <v>24807.96</v>
      </c>
      <c r="K157" s="1">
        <v>45799</v>
      </c>
      <c r="L157" t="s">
        <v>18</v>
      </c>
      <c r="M157" t="s">
        <v>61</v>
      </c>
      <c r="N157">
        <v>1377.72</v>
      </c>
      <c r="O157" t="s">
        <v>74</v>
      </c>
      <c r="P157">
        <v>2025</v>
      </c>
      <c r="Q157">
        <f>IF(Nike_Sales_Cleaned[[#This Row],[Revenue]] = 0, 0, Nike_Sales_Cleaned[[#This Row],[Profit]]/Nike_Sales_Cleaned[[#This Row],[Revenue]])</f>
        <v>5.5535400734280455E-2</v>
      </c>
    </row>
    <row r="158" spans="1:17" x14ac:dyDescent="0.3">
      <c r="A158">
        <v>2709</v>
      </c>
      <c r="B158" t="s">
        <v>10</v>
      </c>
      <c r="C158" t="s">
        <v>23</v>
      </c>
      <c r="D158" t="s">
        <v>37</v>
      </c>
      <c r="E158" t="s">
        <v>46</v>
      </c>
      <c r="F158">
        <v>1</v>
      </c>
      <c r="G158">
        <v>5620.64</v>
      </c>
      <c r="H158">
        <v>0.48</v>
      </c>
      <c r="I158">
        <v>5620.12</v>
      </c>
      <c r="J158">
        <v>5620.12</v>
      </c>
      <c r="K158" s="1">
        <v>45724</v>
      </c>
      <c r="L158" t="s">
        <v>18</v>
      </c>
      <c r="M158" t="s">
        <v>65</v>
      </c>
      <c r="N158">
        <v>2835.93</v>
      </c>
      <c r="O158" t="s">
        <v>77</v>
      </c>
      <c r="P158">
        <v>2025</v>
      </c>
      <c r="Q158">
        <f>IF(Nike_Sales_Cleaned[[#This Row],[Revenue]] = 0, 0, Nike_Sales_Cleaned[[#This Row],[Profit]]/Nike_Sales_Cleaned[[#This Row],[Revenue]])</f>
        <v>0.50460310456004498</v>
      </c>
    </row>
    <row r="159" spans="1:17" x14ac:dyDescent="0.3">
      <c r="A159">
        <v>2713</v>
      </c>
      <c r="B159" t="s">
        <v>27</v>
      </c>
      <c r="C159" t="s">
        <v>20</v>
      </c>
      <c r="D159" t="s">
        <v>47</v>
      </c>
      <c r="E159" t="s">
        <v>22</v>
      </c>
      <c r="F159">
        <v>1</v>
      </c>
      <c r="G159">
        <v>6010.71</v>
      </c>
      <c r="H159">
        <v>0.55000000000000004</v>
      </c>
      <c r="I159">
        <v>6010.26</v>
      </c>
      <c r="J159">
        <v>6010.26</v>
      </c>
      <c r="K159" s="1">
        <v>45787</v>
      </c>
      <c r="L159" t="s">
        <v>18</v>
      </c>
      <c r="M159" t="s">
        <v>66</v>
      </c>
      <c r="N159">
        <v>3663.49</v>
      </c>
      <c r="O159" t="s">
        <v>75</v>
      </c>
      <c r="P159">
        <v>2025</v>
      </c>
      <c r="Q159">
        <f>IF(Nike_Sales_Cleaned[[#This Row],[Revenue]] = 0, 0, Nike_Sales_Cleaned[[#This Row],[Profit]]/Nike_Sales_Cleaned[[#This Row],[Revenue]])</f>
        <v>0.60953935437069273</v>
      </c>
    </row>
    <row r="160" spans="1:17" x14ac:dyDescent="0.3">
      <c r="A160">
        <v>2731</v>
      </c>
      <c r="B160" t="s">
        <v>10</v>
      </c>
      <c r="C160" t="s">
        <v>20</v>
      </c>
      <c r="D160" t="s">
        <v>45</v>
      </c>
      <c r="E160" t="s">
        <v>13</v>
      </c>
      <c r="F160">
        <v>3</v>
      </c>
      <c r="G160">
        <v>6202.99</v>
      </c>
      <c r="H160">
        <v>0</v>
      </c>
      <c r="I160">
        <v>6201.99</v>
      </c>
      <c r="J160">
        <v>18605.97</v>
      </c>
      <c r="K160" s="1">
        <v>45744</v>
      </c>
      <c r="L160" t="s">
        <v>14</v>
      </c>
      <c r="M160" t="s">
        <v>66</v>
      </c>
      <c r="N160">
        <v>3961.27</v>
      </c>
      <c r="O160" t="s">
        <v>74</v>
      </c>
      <c r="P160">
        <v>2025</v>
      </c>
      <c r="Q160">
        <f>IF(Nike_Sales_Cleaned[[#This Row],[Revenue]] = 0, 0, Nike_Sales_Cleaned[[#This Row],[Profit]]/Nike_Sales_Cleaned[[#This Row],[Revenue]])</f>
        <v>0.21290317032651346</v>
      </c>
    </row>
    <row r="161" spans="1:17" x14ac:dyDescent="0.3">
      <c r="A161">
        <v>2738</v>
      </c>
      <c r="B161" t="s">
        <v>15</v>
      </c>
      <c r="C161" t="s">
        <v>11</v>
      </c>
      <c r="D161" t="s">
        <v>41</v>
      </c>
      <c r="E161" t="s">
        <v>13</v>
      </c>
      <c r="F161">
        <v>3</v>
      </c>
      <c r="G161">
        <v>7594.7199999999993</v>
      </c>
      <c r="H161">
        <v>0.39</v>
      </c>
      <c r="I161">
        <v>7594.11</v>
      </c>
      <c r="J161">
        <v>22782.329999999998</v>
      </c>
      <c r="K161" s="1">
        <v>45788</v>
      </c>
      <c r="L161" t="s">
        <v>18</v>
      </c>
      <c r="M161" t="s">
        <v>62</v>
      </c>
      <c r="N161">
        <v>-712.53</v>
      </c>
      <c r="O161" t="s">
        <v>77</v>
      </c>
      <c r="P161">
        <v>2025</v>
      </c>
      <c r="Q161">
        <f>IF(Nike_Sales_Cleaned[[#This Row],[Revenue]] = 0, 0, Nike_Sales_Cleaned[[#This Row],[Profit]]/Nike_Sales_Cleaned[[#This Row],[Revenue]])</f>
        <v>-3.1275554344090357E-2</v>
      </c>
    </row>
    <row r="162" spans="1:17" x14ac:dyDescent="0.3">
      <c r="A162">
        <v>2739</v>
      </c>
      <c r="B162" t="s">
        <v>10</v>
      </c>
      <c r="C162" t="s">
        <v>23</v>
      </c>
      <c r="D162" t="s">
        <v>37</v>
      </c>
      <c r="E162" t="s">
        <v>22</v>
      </c>
      <c r="F162">
        <v>2</v>
      </c>
      <c r="G162">
        <v>5620.64</v>
      </c>
      <c r="H162">
        <v>0.26</v>
      </c>
      <c r="I162">
        <v>5619.9000000000005</v>
      </c>
      <c r="J162">
        <v>11239.800000000001</v>
      </c>
      <c r="K162" s="1">
        <v>45692</v>
      </c>
      <c r="L162" t="s">
        <v>14</v>
      </c>
      <c r="M162" t="s">
        <v>66</v>
      </c>
      <c r="N162">
        <v>2350.69</v>
      </c>
      <c r="O162" t="s">
        <v>78</v>
      </c>
      <c r="P162">
        <v>2025</v>
      </c>
      <c r="Q162">
        <f>IF(Nike_Sales_Cleaned[[#This Row],[Revenue]] = 0, 0, Nike_Sales_Cleaned[[#This Row],[Profit]]/Nike_Sales_Cleaned[[#This Row],[Revenue]])</f>
        <v>0.20913984234594921</v>
      </c>
    </row>
    <row r="163" spans="1:17" x14ac:dyDescent="0.3">
      <c r="A163">
        <v>2754</v>
      </c>
      <c r="B163" t="s">
        <v>10</v>
      </c>
      <c r="C163" t="s">
        <v>11</v>
      </c>
      <c r="D163" t="s">
        <v>41</v>
      </c>
      <c r="E163" t="s">
        <v>25</v>
      </c>
      <c r="F163">
        <v>1</v>
      </c>
      <c r="G163">
        <v>7594.7199999999993</v>
      </c>
      <c r="H163">
        <v>0</v>
      </c>
      <c r="I163">
        <v>7593.7199999999993</v>
      </c>
      <c r="J163">
        <v>7593.7199999999993</v>
      </c>
      <c r="K163" s="1">
        <v>45660</v>
      </c>
      <c r="L163" t="s">
        <v>14</v>
      </c>
      <c r="M163" t="s">
        <v>66</v>
      </c>
      <c r="N163">
        <v>3565.12</v>
      </c>
      <c r="O163" t="s">
        <v>74</v>
      </c>
      <c r="P163">
        <v>2025</v>
      </c>
      <c r="Q163">
        <f>IF(Nike_Sales_Cleaned[[#This Row],[Revenue]] = 0, 0, Nike_Sales_Cleaned[[#This Row],[Profit]]/Nike_Sales_Cleaned[[#This Row],[Revenue]])</f>
        <v>0.46948267779164893</v>
      </c>
    </row>
    <row r="164" spans="1:17" x14ac:dyDescent="0.3">
      <c r="A164">
        <v>2755</v>
      </c>
      <c r="B164" t="s">
        <v>27</v>
      </c>
      <c r="C164" t="s">
        <v>23</v>
      </c>
      <c r="D164" t="s">
        <v>24</v>
      </c>
      <c r="E164" t="s">
        <v>13</v>
      </c>
      <c r="F164">
        <v>3</v>
      </c>
      <c r="G164">
        <v>7557.71</v>
      </c>
      <c r="H164">
        <v>0</v>
      </c>
      <c r="I164">
        <v>7556.71</v>
      </c>
      <c r="J164">
        <v>22670.13</v>
      </c>
      <c r="K164" s="1">
        <v>45650</v>
      </c>
      <c r="L164" t="s">
        <v>14</v>
      </c>
      <c r="M164" t="s">
        <v>64</v>
      </c>
      <c r="N164">
        <v>161.94999999999999</v>
      </c>
      <c r="O164" t="s">
        <v>74</v>
      </c>
      <c r="P164">
        <v>2024</v>
      </c>
      <c r="Q164">
        <f>IF(Nike_Sales_Cleaned[[#This Row],[Revenue]] = 0, 0, Nike_Sales_Cleaned[[#This Row],[Profit]]/Nike_Sales_Cleaned[[#This Row],[Revenue]])</f>
        <v>7.1437614164541613E-3</v>
      </c>
    </row>
    <row r="165" spans="1:17" x14ac:dyDescent="0.3">
      <c r="A165">
        <v>2763</v>
      </c>
      <c r="B165" t="s">
        <v>15</v>
      </c>
      <c r="C165" t="s">
        <v>16</v>
      </c>
      <c r="D165" t="s">
        <v>42</v>
      </c>
      <c r="E165" t="s">
        <v>46</v>
      </c>
      <c r="F165">
        <v>4</v>
      </c>
      <c r="G165">
        <v>5940.3850000000002</v>
      </c>
      <c r="H165">
        <v>0</v>
      </c>
      <c r="I165">
        <v>5939.3850000000002</v>
      </c>
      <c r="J165">
        <v>23757.54</v>
      </c>
      <c r="K165" s="1">
        <v>45504</v>
      </c>
      <c r="L165" t="s">
        <v>14</v>
      </c>
      <c r="M165" t="s">
        <v>62</v>
      </c>
      <c r="N165">
        <v>-763.34</v>
      </c>
      <c r="O165" t="s">
        <v>74</v>
      </c>
      <c r="P165">
        <v>2024</v>
      </c>
      <c r="Q165">
        <f>IF(Nike_Sales_Cleaned[[#This Row],[Revenue]] = 0, 0, Nike_Sales_Cleaned[[#This Row],[Profit]]/Nike_Sales_Cleaned[[#This Row],[Revenue]])</f>
        <v>-3.2130431012638516E-2</v>
      </c>
    </row>
    <row r="166" spans="1:17" x14ac:dyDescent="0.3">
      <c r="A166">
        <v>2781</v>
      </c>
      <c r="B166" t="s">
        <v>27</v>
      </c>
      <c r="C166" t="s">
        <v>11</v>
      </c>
      <c r="D166" t="s">
        <v>34</v>
      </c>
      <c r="E166" t="s">
        <v>40</v>
      </c>
      <c r="F166">
        <v>1</v>
      </c>
      <c r="G166">
        <v>6186.9950000000008</v>
      </c>
      <c r="H166">
        <v>0.68</v>
      </c>
      <c r="I166">
        <v>6186.6750000000011</v>
      </c>
      <c r="J166">
        <v>6186.6750000000011</v>
      </c>
      <c r="K166" s="1">
        <v>45172</v>
      </c>
      <c r="L166" t="s">
        <v>18</v>
      </c>
      <c r="M166" t="s">
        <v>64</v>
      </c>
      <c r="N166">
        <v>1504.31</v>
      </c>
      <c r="O166" t="s">
        <v>75</v>
      </c>
      <c r="P166">
        <v>2023</v>
      </c>
      <c r="Q166">
        <f>IF(Nike_Sales_Cleaned[[#This Row],[Revenue]] = 0, 0, Nike_Sales_Cleaned[[#This Row],[Profit]]/Nike_Sales_Cleaned[[#This Row],[Revenue]])</f>
        <v>0.24315322851127619</v>
      </c>
    </row>
    <row r="167" spans="1:17" x14ac:dyDescent="0.3">
      <c r="A167">
        <v>2785</v>
      </c>
      <c r="B167" t="s">
        <v>15</v>
      </c>
      <c r="C167" t="s">
        <v>20</v>
      </c>
      <c r="D167" t="s">
        <v>21</v>
      </c>
      <c r="E167" t="s">
        <v>22</v>
      </c>
      <c r="F167">
        <v>2</v>
      </c>
      <c r="G167">
        <v>4904.79</v>
      </c>
      <c r="H167">
        <v>0</v>
      </c>
      <c r="I167">
        <v>4903.79</v>
      </c>
      <c r="J167">
        <v>9807.58</v>
      </c>
      <c r="K167" s="1">
        <v>45585</v>
      </c>
      <c r="L167" t="s">
        <v>18</v>
      </c>
      <c r="M167" t="s">
        <v>61</v>
      </c>
      <c r="N167">
        <v>-834.71</v>
      </c>
      <c r="O167" t="s">
        <v>74</v>
      </c>
      <c r="P167">
        <v>2024</v>
      </c>
      <c r="Q167">
        <f>IF(Nike_Sales_Cleaned[[#This Row],[Revenue]] = 0, 0, Nike_Sales_Cleaned[[#This Row],[Profit]]/Nike_Sales_Cleaned[[#This Row],[Revenue]])</f>
        <v>-8.5108660852116422E-2</v>
      </c>
    </row>
    <row r="168" spans="1:17" x14ac:dyDescent="0.3">
      <c r="A168">
        <v>2787</v>
      </c>
      <c r="B168" t="s">
        <v>10</v>
      </c>
      <c r="C168" t="s">
        <v>11</v>
      </c>
      <c r="D168" t="s">
        <v>34</v>
      </c>
      <c r="E168" t="s">
        <v>40</v>
      </c>
      <c r="F168">
        <v>3</v>
      </c>
      <c r="G168">
        <v>6186.9950000000008</v>
      </c>
      <c r="H168">
        <v>0</v>
      </c>
      <c r="I168">
        <v>6185.9950000000008</v>
      </c>
      <c r="J168">
        <v>18557.985000000001</v>
      </c>
      <c r="K168" s="1">
        <v>45535</v>
      </c>
      <c r="L168" t="s">
        <v>14</v>
      </c>
      <c r="M168" t="s">
        <v>62</v>
      </c>
      <c r="N168">
        <v>22.93</v>
      </c>
      <c r="O168" t="s">
        <v>74</v>
      </c>
      <c r="P168">
        <v>2024</v>
      </c>
      <c r="Q168">
        <f>IF(Nike_Sales_Cleaned[[#This Row],[Revenue]] = 0, 0, Nike_Sales_Cleaned[[#This Row],[Profit]]/Nike_Sales_Cleaned[[#This Row],[Revenue]])</f>
        <v>1.2355867299170681E-3</v>
      </c>
    </row>
    <row r="169" spans="1:17" x14ac:dyDescent="0.3">
      <c r="A169">
        <v>2801</v>
      </c>
      <c r="B169" t="s">
        <v>15</v>
      </c>
      <c r="C169" t="s">
        <v>23</v>
      </c>
      <c r="D169" t="s">
        <v>24</v>
      </c>
      <c r="E169" t="s">
        <v>49</v>
      </c>
      <c r="F169">
        <v>2</v>
      </c>
      <c r="G169">
        <v>7557.71</v>
      </c>
      <c r="H169">
        <v>0</v>
      </c>
      <c r="I169">
        <v>7556.71</v>
      </c>
      <c r="J169">
        <v>15113.42</v>
      </c>
      <c r="K169" s="1">
        <v>45335</v>
      </c>
      <c r="L169" t="s">
        <v>18</v>
      </c>
      <c r="M169" t="s">
        <v>63</v>
      </c>
      <c r="N169">
        <v>2966.12</v>
      </c>
      <c r="O169" t="s">
        <v>74</v>
      </c>
      <c r="P169">
        <v>2024</v>
      </c>
      <c r="Q169">
        <f>IF(Nike_Sales_Cleaned[[#This Row],[Revenue]] = 0, 0, Nike_Sales_Cleaned[[#This Row],[Profit]]/Nike_Sales_Cleaned[[#This Row],[Revenue]])</f>
        <v>0.19625736597011131</v>
      </c>
    </row>
    <row r="170" spans="1:17" x14ac:dyDescent="0.3">
      <c r="A170">
        <v>2802</v>
      </c>
      <c r="B170" t="s">
        <v>27</v>
      </c>
      <c r="C170" t="s">
        <v>23</v>
      </c>
      <c r="D170" t="s">
        <v>37</v>
      </c>
      <c r="E170" t="s">
        <v>22</v>
      </c>
      <c r="F170">
        <v>3</v>
      </c>
      <c r="G170">
        <v>5620.64</v>
      </c>
      <c r="H170">
        <v>0</v>
      </c>
      <c r="I170">
        <v>5619.64</v>
      </c>
      <c r="J170">
        <v>16858.920000000002</v>
      </c>
      <c r="K170" s="1">
        <v>45310</v>
      </c>
      <c r="L170" t="s">
        <v>14</v>
      </c>
      <c r="M170" t="s">
        <v>66</v>
      </c>
      <c r="N170">
        <v>-231.73</v>
      </c>
      <c r="O170" t="s">
        <v>74</v>
      </c>
      <c r="P170">
        <v>2024</v>
      </c>
      <c r="Q170">
        <f>IF(Nike_Sales_Cleaned[[#This Row],[Revenue]] = 0, 0, Nike_Sales_Cleaned[[#This Row],[Profit]]/Nike_Sales_Cleaned[[#This Row],[Revenue]])</f>
        <v>-1.3745245840184304E-2</v>
      </c>
    </row>
    <row r="171" spans="1:17" x14ac:dyDescent="0.3">
      <c r="A171">
        <v>2806</v>
      </c>
      <c r="B171" t="s">
        <v>10</v>
      </c>
      <c r="C171" t="s">
        <v>31</v>
      </c>
      <c r="D171" t="s">
        <v>38</v>
      </c>
      <c r="E171" t="s">
        <v>44</v>
      </c>
      <c r="F171">
        <v>3</v>
      </c>
      <c r="G171">
        <v>5117.8649999999998</v>
      </c>
      <c r="H171">
        <v>0</v>
      </c>
      <c r="I171">
        <v>5116.8649999999998</v>
      </c>
      <c r="J171">
        <v>15350.594999999999</v>
      </c>
      <c r="K171" s="1">
        <v>45332</v>
      </c>
      <c r="L171" t="s">
        <v>14</v>
      </c>
      <c r="M171" t="s">
        <v>64</v>
      </c>
      <c r="N171">
        <v>2407.08</v>
      </c>
      <c r="O171" t="s">
        <v>74</v>
      </c>
      <c r="P171">
        <v>2024</v>
      </c>
      <c r="Q171">
        <f>IF(Nike_Sales_Cleaned[[#This Row],[Revenue]] = 0, 0, Nike_Sales_Cleaned[[#This Row],[Profit]]/Nike_Sales_Cleaned[[#This Row],[Revenue]])</f>
        <v>0.15680695113121024</v>
      </c>
    </row>
    <row r="172" spans="1:17" x14ac:dyDescent="0.3">
      <c r="A172">
        <v>2807</v>
      </c>
      <c r="B172" t="s">
        <v>10</v>
      </c>
      <c r="C172" t="s">
        <v>11</v>
      </c>
      <c r="D172" t="s">
        <v>41</v>
      </c>
      <c r="E172" t="s">
        <v>22</v>
      </c>
      <c r="F172">
        <v>2</v>
      </c>
      <c r="G172">
        <v>7594.7199999999993</v>
      </c>
      <c r="H172">
        <v>0</v>
      </c>
      <c r="I172">
        <v>7593.7199999999993</v>
      </c>
      <c r="J172">
        <v>15187.439999999999</v>
      </c>
      <c r="K172" s="1">
        <v>45566</v>
      </c>
      <c r="L172" t="s">
        <v>14</v>
      </c>
      <c r="M172" t="s">
        <v>61</v>
      </c>
      <c r="N172">
        <v>875.36</v>
      </c>
      <c r="O172" t="s">
        <v>74</v>
      </c>
      <c r="P172">
        <v>2024</v>
      </c>
      <c r="Q172">
        <f>IF(Nike_Sales_Cleaned[[#This Row],[Revenue]] = 0, 0, Nike_Sales_Cleaned[[#This Row],[Profit]]/Nike_Sales_Cleaned[[#This Row],[Revenue]])</f>
        <v>5.7637100130107519E-2</v>
      </c>
    </row>
    <row r="173" spans="1:17" x14ac:dyDescent="0.3">
      <c r="A173">
        <v>2811</v>
      </c>
      <c r="B173" t="s">
        <v>27</v>
      </c>
      <c r="C173" t="s">
        <v>31</v>
      </c>
      <c r="D173" t="s">
        <v>39</v>
      </c>
      <c r="E173" t="s">
        <v>49</v>
      </c>
      <c r="F173">
        <v>3</v>
      </c>
      <c r="G173">
        <v>7845.46</v>
      </c>
      <c r="H173">
        <v>0</v>
      </c>
      <c r="I173">
        <v>7844.46</v>
      </c>
      <c r="J173">
        <v>23533.38</v>
      </c>
      <c r="K173" s="1">
        <v>45681</v>
      </c>
      <c r="L173" t="s">
        <v>18</v>
      </c>
      <c r="M173" t="s">
        <v>64</v>
      </c>
      <c r="N173">
        <v>-77.61</v>
      </c>
      <c r="O173" t="s">
        <v>74</v>
      </c>
      <c r="P173">
        <v>2025</v>
      </c>
      <c r="Q173">
        <f>IF(Nike_Sales_Cleaned[[#This Row],[Revenue]] = 0, 0, Nike_Sales_Cleaned[[#This Row],[Profit]]/Nike_Sales_Cleaned[[#This Row],[Revenue]])</f>
        <v>-3.297868814424447E-3</v>
      </c>
    </row>
    <row r="174" spans="1:17" x14ac:dyDescent="0.3">
      <c r="A174">
        <v>2816</v>
      </c>
      <c r="B174" t="s">
        <v>27</v>
      </c>
      <c r="C174" t="s">
        <v>31</v>
      </c>
      <c r="D174" t="s">
        <v>48</v>
      </c>
      <c r="E174" t="s">
        <v>13</v>
      </c>
      <c r="F174">
        <v>3</v>
      </c>
      <c r="G174">
        <v>5355.64</v>
      </c>
      <c r="H174">
        <v>0</v>
      </c>
      <c r="I174">
        <v>5354.64</v>
      </c>
      <c r="J174">
        <v>16063.920000000002</v>
      </c>
      <c r="K174" s="1">
        <v>45679</v>
      </c>
      <c r="L174" t="s">
        <v>18</v>
      </c>
      <c r="M174" t="s">
        <v>61</v>
      </c>
      <c r="N174">
        <v>916.13</v>
      </c>
      <c r="O174" t="s">
        <v>74</v>
      </c>
      <c r="P174">
        <v>2025</v>
      </c>
      <c r="Q174">
        <f>IF(Nike_Sales_Cleaned[[#This Row],[Revenue]] = 0, 0, Nike_Sales_Cleaned[[#This Row],[Profit]]/Nike_Sales_Cleaned[[#This Row],[Revenue]])</f>
        <v>5.703028899546312E-2</v>
      </c>
    </row>
    <row r="175" spans="1:17" x14ac:dyDescent="0.3">
      <c r="A175">
        <v>2032</v>
      </c>
      <c r="B175" t="s">
        <v>15</v>
      </c>
      <c r="C175" t="s">
        <v>16</v>
      </c>
      <c r="D175" t="s">
        <v>29</v>
      </c>
      <c r="E175" t="s">
        <v>46</v>
      </c>
      <c r="F175">
        <v>2</v>
      </c>
      <c r="G175">
        <v>6880.21</v>
      </c>
      <c r="H175">
        <v>0.96</v>
      </c>
      <c r="I175">
        <v>6880.17</v>
      </c>
      <c r="J175">
        <v>13760.34</v>
      </c>
      <c r="K175" s="1">
        <v>45581</v>
      </c>
      <c r="L175" t="s">
        <v>14</v>
      </c>
      <c r="M175" t="s">
        <v>66</v>
      </c>
      <c r="N175">
        <v>-596.41</v>
      </c>
      <c r="O175" t="s">
        <v>75</v>
      </c>
      <c r="P175">
        <v>2024</v>
      </c>
      <c r="Q175">
        <f>IF(Nike_Sales_Cleaned[[#This Row],[Revenue]] = 0, 0, Nike_Sales_Cleaned[[#This Row],[Profit]]/Nike_Sales_Cleaned[[#This Row],[Revenue]])</f>
        <v>-4.3342679032640177E-2</v>
      </c>
    </row>
    <row r="176" spans="1:17" x14ac:dyDescent="0.3">
      <c r="A176">
        <v>2820</v>
      </c>
      <c r="B176" t="s">
        <v>15</v>
      </c>
      <c r="C176" t="s">
        <v>20</v>
      </c>
      <c r="D176" t="s">
        <v>21</v>
      </c>
      <c r="E176" t="s">
        <v>13</v>
      </c>
      <c r="F176">
        <v>4</v>
      </c>
      <c r="G176">
        <v>4904.79</v>
      </c>
      <c r="H176">
        <v>0</v>
      </c>
      <c r="I176">
        <v>4903.79</v>
      </c>
      <c r="J176">
        <v>19615.16</v>
      </c>
      <c r="K176" s="1">
        <v>45509</v>
      </c>
      <c r="L176" t="s">
        <v>14</v>
      </c>
      <c r="M176" t="s">
        <v>63</v>
      </c>
      <c r="N176">
        <v>2078.39</v>
      </c>
      <c r="O176" t="s">
        <v>74</v>
      </c>
      <c r="P176">
        <v>2024</v>
      </c>
      <c r="Q176">
        <f>IF(Nike_Sales_Cleaned[[#This Row],[Revenue]] = 0, 0, Nike_Sales_Cleaned[[#This Row],[Profit]]/Nike_Sales_Cleaned[[#This Row],[Revenue]])</f>
        <v>0.10595835058189686</v>
      </c>
    </row>
    <row r="177" spans="1:17" x14ac:dyDescent="0.3">
      <c r="A177">
        <v>2823</v>
      </c>
      <c r="B177" t="s">
        <v>27</v>
      </c>
      <c r="C177" t="s">
        <v>16</v>
      </c>
      <c r="D177" t="s">
        <v>29</v>
      </c>
      <c r="E177" t="s">
        <v>22</v>
      </c>
      <c r="F177">
        <v>1</v>
      </c>
      <c r="G177">
        <v>6880.21</v>
      </c>
      <c r="H177">
        <v>0</v>
      </c>
      <c r="I177">
        <v>6879.21</v>
      </c>
      <c r="J177">
        <v>6879.21</v>
      </c>
      <c r="K177" s="1">
        <v>45500</v>
      </c>
      <c r="L177" t="s">
        <v>18</v>
      </c>
      <c r="M177" t="s">
        <v>63</v>
      </c>
      <c r="N177">
        <v>-1125.9100000000001</v>
      </c>
      <c r="O177" t="s">
        <v>74</v>
      </c>
      <c r="P177">
        <v>2024</v>
      </c>
      <c r="Q177">
        <f>IF(Nike_Sales_Cleaned[[#This Row],[Revenue]] = 0, 0, Nike_Sales_Cleaned[[#This Row],[Profit]]/Nike_Sales_Cleaned[[#This Row],[Revenue]])</f>
        <v>-0.16366850263329658</v>
      </c>
    </row>
    <row r="178" spans="1:17" x14ac:dyDescent="0.3">
      <c r="A178">
        <v>2824</v>
      </c>
      <c r="B178" t="s">
        <v>27</v>
      </c>
      <c r="C178" t="s">
        <v>31</v>
      </c>
      <c r="D178" t="s">
        <v>32</v>
      </c>
      <c r="E178" t="s">
        <v>22</v>
      </c>
      <c r="F178">
        <v>4</v>
      </c>
      <c r="G178">
        <v>5981.92</v>
      </c>
      <c r="H178">
        <v>0</v>
      </c>
      <c r="I178">
        <v>5980.92</v>
      </c>
      <c r="J178">
        <v>23923.68</v>
      </c>
      <c r="K178" s="1">
        <v>45598</v>
      </c>
      <c r="L178" t="s">
        <v>14</v>
      </c>
      <c r="M178" t="s">
        <v>63</v>
      </c>
      <c r="N178">
        <v>1620.37</v>
      </c>
      <c r="O178" t="s">
        <v>74</v>
      </c>
      <c r="P178">
        <v>2024</v>
      </c>
      <c r="Q178">
        <f>IF(Nike_Sales_Cleaned[[#This Row],[Revenue]] = 0, 0, Nike_Sales_Cleaned[[#This Row],[Profit]]/Nike_Sales_Cleaned[[#This Row],[Revenue]])</f>
        <v>6.7730800612614772E-2</v>
      </c>
    </row>
    <row r="179" spans="1:17" x14ac:dyDescent="0.3">
      <c r="A179">
        <v>2831</v>
      </c>
      <c r="B179" t="s">
        <v>15</v>
      </c>
      <c r="C179" t="s">
        <v>11</v>
      </c>
      <c r="D179" t="s">
        <v>12</v>
      </c>
      <c r="E179" t="s">
        <v>44</v>
      </c>
      <c r="F179">
        <v>4</v>
      </c>
      <c r="G179">
        <v>5873.83</v>
      </c>
      <c r="H179">
        <v>0</v>
      </c>
      <c r="I179">
        <v>5872.83</v>
      </c>
      <c r="J179">
        <v>23491.32</v>
      </c>
      <c r="K179" s="1">
        <v>45606</v>
      </c>
      <c r="L179" t="s">
        <v>14</v>
      </c>
      <c r="M179" t="s">
        <v>63</v>
      </c>
      <c r="N179">
        <v>3134.87</v>
      </c>
      <c r="O179" t="s">
        <v>74</v>
      </c>
      <c r="P179">
        <v>2024</v>
      </c>
      <c r="Q179">
        <f>IF(Nike_Sales_Cleaned[[#This Row],[Revenue]] = 0, 0, Nike_Sales_Cleaned[[#This Row],[Profit]]/Nike_Sales_Cleaned[[#This Row],[Revenue]])</f>
        <v>0.13344801398984815</v>
      </c>
    </row>
    <row r="180" spans="1:17" x14ac:dyDescent="0.3">
      <c r="A180">
        <v>2833</v>
      </c>
      <c r="B180" t="s">
        <v>15</v>
      </c>
      <c r="C180" t="s">
        <v>11</v>
      </c>
      <c r="D180" t="s">
        <v>26</v>
      </c>
      <c r="E180" t="s">
        <v>25</v>
      </c>
      <c r="F180">
        <v>4</v>
      </c>
      <c r="G180">
        <v>5649.73</v>
      </c>
      <c r="H180">
        <v>0</v>
      </c>
      <c r="I180">
        <v>5648.73</v>
      </c>
      <c r="J180">
        <v>22594.92</v>
      </c>
      <c r="K180" s="1">
        <v>45676</v>
      </c>
      <c r="L180" t="s">
        <v>14</v>
      </c>
      <c r="M180" t="s">
        <v>62</v>
      </c>
      <c r="N180">
        <v>-16.04</v>
      </c>
      <c r="O180" t="s">
        <v>74</v>
      </c>
      <c r="P180">
        <v>2025</v>
      </c>
      <c r="Q180">
        <f>IF(Nike_Sales_Cleaned[[#This Row],[Revenue]] = 0, 0, Nike_Sales_Cleaned[[#This Row],[Profit]]/Nike_Sales_Cleaned[[#This Row],[Revenue]])</f>
        <v>-7.098940823866604E-4</v>
      </c>
    </row>
    <row r="181" spans="1:17" x14ac:dyDescent="0.3">
      <c r="A181">
        <v>2838</v>
      </c>
      <c r="B181" t="s">
        <v>15</v>
      </c>
      <c r="C181" t="s">
        <v>31</v>
      </c>
      <c r="D181" t="s">
        <v>32</v>
      </c>
      <c r="E181" t="s">
        <v>25</v>
      </c>
      <c r="F181">
        <v>4</v>
      </c>
      <c r="G181">
        <v>5981.92</v>
      </c>
      <c r="H181">
        <v>0</v>
      </c>
      <c r="I181">
        <v>5980.92</v>
      </c>
      <c r="J181">
        <v>23923.68</v>
      </c>
      <c r="K181" s="1">
        <v>45665</v>
      </c>
      <c r="L181" t="s">
        <v>18</v>
      </c>
      <c r="M181" t="s">
        <v>62</v>
      </c>
      <c r="N181">
        <v>-990.99</v>
      </c>
      <c r="O181" t="s">
        <v>74</v>
      </c>
      <c r="P181">
        <v>2025</v>
      </c>
      <c r="Q181">
        <f>IF(Nike_Sales_Cleaned[[#This Row],[Revenue]] = 0, 0, Nike_Sales_Cleaned[[#This Row],[Profit]]/Nike_Sales_Cleaned[[#This Row],[Revenue]])</f>
        <v>-4.1422975060693007E-2</v>
      </c>
    </row>
    <row r="182" spans="1:17" x14ac:dyDescent="0.3">
      <c r="A182">
        <v>2850</v>
      </c>
      <c r="B182" t="s">
        <v>10</v>
      </c>
      <c r="C182" t="s">
        <v>20</v>
      </c>
      <c r="D182" t="s">
        <v>30</v>
      </c>
      <c r="E182" t="s">
        <v>25</v>
      </c>
      <c r="F182">
        <v>2</v>
      </c>
      <c r="G182">
        <v>6216.29</v>
      </c>
      <c r="H182">
        <v>0</v>
      </c>
      <c r="I182">
        <v>6215.29</v>
      </c>
      <c r="J182">
        <v>12430.58</v>
      </c>
      <c r="K182" s="1">
        <v>45606</v>
      </c>
      <c r="L182" t="s">
        <v>18</v>
      </c>
      <c r="M182" t="s">
        <v>62</v>
      </c>
      <c r="N182">
        <v>458.86</v>
      </c>
      <c r="O182" t="s">
        <v>74</v>
      </c>
      <c r="P182">
        <v>2024</v>
      </c>
      <c r="Q182">
        <f>IF(Nike_Sales_Cleaned[[#This Row],[Revenue]] = 0, 0, Nike_Sales_Cleaned[[#This Row],[Profit]]/Nike_Sales_Cleaned[[#This Row],[Revenue]])</f>
        <v>3.6913804504697285E-2</v>
      </c>
    </row>
    <row r="183" spans="1:17" x14ac:dyDescent="0.3">
      <c r="A183">
        <v>2866</v>
      </c>
      <c r="B183" t="s">
        <v>10</v>
      </c>
      <c r="C183" t="s">
        <v>11</v>
      </c>
      <c r="D183" t="s">
        <v>12</v>
      </c>
      <c r="E183" t="s">
        <v>28</v>
      </c>
      <c r="F183">
        <v>2</v>
      </c>
      <c r="G183">
        <v>5873.83</v>
      </c>
      <c r="H183">
        <v>0</v>
      </c>
      <c r="I183">
        <v>5872.83</v>
      </c>
      <c r="J183">
        <v>11745.66</v>
      </c>
      <c r="K183" s="1">
        <v>45666</v>
      </c>
      <c r="L183" t="s">
        <v>14</v>
      </c>
      <c r="M183" t="s">
        <v>62</v>
      </c>
      <c r="N183">
        <v>273.27999999999997</v>
      </c>
      <c r="O183" t="s">
        <v>74</v>
      </c>
      <c r="P183">
        <v>2025</v>
      </c>
      <c r="Q183">
        <f>IF(Nike_Sales_Cleaned[[#This Row],[Revenue]] = 0, 0, Nike_Sales_Cleaned[[#This Row],[Profit]]/Nike_Sales_Cleaned[[#This Row],[Revenue]])</f>
        <v>2.3266466081940052E-2</v>
      </c>
    </row>
    <row r="184" spans="1:17" x14ac:dyDescent="0.3">
      <c r="A184">
        <v>2867</v>
      </c>
      <c r="B184" t="s">
        <v>27</v>
      </c>
      <c r="C184" t="s">
        <v>16</v>
      </c>
      <c r="D184" t="s">
        <v>29</v>
      </c>
      <c r="E184" t="s">
        <v>28</v>
      </c>
      <c r="F184">
        <v>1</v>
      </c>
      <c r="G184">
        <v>6880.21</v>
      </c>
      <c r="H184">
        <v>0</v>
      </c>
      <c r="I184">
        <v>6879.21</v>
      </c>
      <c r="J184">
        <v>6879.21</v>
      </c>
      <c r="K184" s="1">
        <v>45708</v>
      </c>
      <c r="L184" t="s">
        <v>14</v>
      </c>
      <c r="M184" t="s">
        <v>61</v>
      </c>
      <c r="N184">
        <v>3190.43</v>
      </c>
      <c r="O184" t="s">
        <v>74</v>
      </c>
      <c r="P184">
        <v>2025</v>
      </c>
      <c r="Q184">
        <f>IF(Nike_Sales_Cleaned[[#This Row],[Revenue]] = 0, 0, Nike_Sales_Cleaned[[#This Row],[Profit]]/Nike_Sales_Cleaned[[#This Row],[Revenue]])</f>
        <v>0.46377854433866678</v>
      </c>
    </row>
    <row r="185" spans="1:17" x14ac:dyDescent="0.3">
      <c r="A185">
        <v>2869</v>
      </c>
      <c r="B185" t="s">
        <v>10</v>
      </c>
      <c r="C185" t="s">
        <v>16</v>
      </c>
      <c r="D185" t="s">
        <v>19</v>
      </c>
      <c r="E185" t="s">
        <v>13</v>
      </c>
      <c r="F185">
        <v>4</v>
      </c>
      <c r="G185">
        <v>5178.83</v>
      </c>
      <c r="H185">
        <v>0</v>
      </c>
      <c r="I185">
        <v>5177.83</v>
      </c>
      <c r="J185">
        <v>20711.32</v>
      </c>
      <c r="K185" s="1">
        <v>45499</v>
      </c>
      <c r="L185" t="s">
        <v>14</v>
      </c>
      <c r="M185" t="s">
        <v>62</v>
      </c>
      <c r="N185">
        <v>1550.3</v>
      </c>
      <c r="O185" t="s">
        <v>74</v>
      </c>
      <c r="P185">
        <v>2024</v>
      </c>
      <c r="Q185">
        <f>IF(Nike_Sales_Cleaned[[#This Row],[Revenue]] = 0, 0, Nike_Sales_Cleaned[[#This Row],[Profit]]/Nike_Sales_Cleaned[[#This Row],[Revenue]])</f>
        <v>7.4852785819542161E-2</v>
      </c>
    </row>
    <row r="186" spans="1:17" x14ac:dyDescent="0.3">
      <c r="A186">
        <v>2870</v>
      </c>
      <c r="B186" t="s">
        <v>10</v>
      </c>
      <c r="C186" t="s">
        <v>11</v>
      </c>
      <c r="D186" t="s">
        <v>34</v>
      </c>
      <c r="E186" t="s">
        <v>13</v>
      </c>
      <c r="F186">
        <v>1</v>
      </c>
      <c r="G186">
        <v>6186.9950000000008</v>
      </c>
      <c r="H186">
        <v>0</v>
      </c>
      <c r="I186">
        <v>6185.9950000000008</v>
      </c>
      <c r="J186">
        <v>6185.9950000000008</v>
      </c>
      <c r="K186" s="1">
        <v>45570</v>
      </c>
      <c r="L186" t="s">
        <v>18</v>
      </c>
      <c r="M186" t="s">
        <v>65</v>
      </c>
      <c r="N186">
        <v>771.96</v>
      </c>
      <c r="O186" t="s">
        <v>74</v>
      </c>
      <c r="P186">
        <v>2024</v>
      </c>
      <c r="Q186">
        <f>IF(Nike_Sales_Cleaned[[#This Row],[Revenue]] = 0, 0, Nike_Sales_Cleaned[[#This Row],[Profit]]/Nike_Sales_Cleaned[[#This Row],[Revenue]])</f>
        <v>0.12479156546359962</v>
      </c>
    </row>
    <row r="187" spans="1:17" x14ac:dyDescent="0.3">
      <c r="A187">
        <v>2871</v>
      </c>
      <c r="B187" t="s">
        <v>27</v>
      </c>
      <c r="C187" t="s">
        <v>11</v>
      </c>
      <c r="D187" t="s">
        <v>26</v>
      </c>
      <c r="E187" t="s">
        <v>13</v>
      </c>
      <c r="F187">
        <v>1</v>
      </c>
      <c r="G187">
        <v>5649.73</v>
      </c>
      <c r="H187">
        <v>0</v>
      </c>
      <c r="I187">
        <v>5648.73</v>
      </c>
      <c r="J187">
        <v>5648.73</v>
      </c>
      <c r="K187" s="1">
        <v>45860</v>
      </c>
      <c r="L187" t="s">
        <v>18</v>
      </c>
      <c r="M187" t="s">
        <v>64</v>
      </c>
      <c r="N187">
        <v>1002.21</v>
      </c>
      <c r="O187" t="s">
        <v>74</v>
      </c>
      <c r="P187">
        <v>2025</v>
      </c>
      <c r="Q187">
        <f>IF(Nike_Sales_Cleaned[[#This Row],[Revenue]] = 0, 0, Nike_Sales_Cleaned[[#This Row],[Profit]]/Nike_Sales_Cleaned[[#This Row],[Revenue]])</f>
        <v>0.17742218162312592</v>
      </c>
    </row>
    <row r="188" spans="1:17" x14ac:dyDescent="0.3">
      <c r="A188">
        <v>2875</v>
      </c>
      <c r="B188" t="s">
        <v>15</v>
      </c>
      <c r="C188" t="s">
        <v>20</v>
      </c>
      <c r="D188" t="s">
        <v>45</v>
      </c>
      <c r="E188" t="s">
        <v>22</v>
      </c>
      <c r="F188">
        <v>4</v>
      </c>
      <c r="G188">
        <v>6202.99</v>
      </c>
      <c r="H188">
        <v>0</v>
      </c>
      <c r="I188">
        <v>6201.99</v>
      </c>
      <c r="J188">
        <v>24807.96</v>
      </c>
      <c r="K188" s="1">
        <v>45551</v>
      </c>
      <c r="L188" t="s">
        <v>18</v>
      </c>
      <c r="M188" t="s">
        <v>64</v>
      </c>
      <c r="N188">
        <v>1559.28</v>
      </c>
      <c r="O188" t="s">
        <v>74</v>
      </c>
      <c r="P188">
        <v>2024</v>
      </c>
      <c r="Q188">
        <f>IF(Nike_Sales_Cleaned[[#This Row],[Revenue]] = 0, 0, Nike_Sales_Cleaned[[#This Row],[Profit]]/Nike_Sales_Cleaned[[#This Row],[Revenue]])</f>
        <v>6.2854019435697253E-2</v>
      </c>
    </row>
    <row r="189" spans="1:17" x14ac:dyDescent="0.3">
      <c r="A189">
        <v>2050</v>
      </c>
      <c r="B189" t="s">
        <v>10</v>
      </c>
      <c r="C189" t="s">
        <v>31</v>
      </c>
      <c r="D189" t="s">
        <v>39</v>
      </c>
      <c r="E189" t="s">
        <v>36</v>
      </c>
      <c r="F189">
        <v>3</v>
      </c>
      <c r="G189">
        <v>7845.46</v>
      </c>
      <c r="H189">
        <v>0</v>
      </c>
      <c r="I189">
        <v>7844.46</v>
      </c>
      <c r="J189">
        <v>23533.38</v>
      </c>
      <c r="K189" s="1">
        <v>45838</v>
      </c>
      <c r="L189" t="s">
        <v>18</v>
      </c>
      <c r="M189" t="s">
        <v>66</v>
      </c>
      <c r="N189">
        <v>-1000.03</v>
      </c>
      <c r="O189" t="s">
        <v>74</v>
      </c>
      <c r="P189">
        <v>2025</v>
      </c>
      <c r="Q189">
        <f>IF(Nike_Sales_Cleaned[[#This Row],[Revenue]] = 0, 0, Nike_Sales_Cleaned[[#This Row],[Profit]]/Nike_Sales_Cleaned[[#This Row],[Revenue]])</f>
        <v>-4.2494108368623627E-2</v>
      </c>
    </row>
    <row r="190" spans="1:17" x14ac:dyDescent="0.3">
      <c r="A190">
        <v>2892</v>
      </c>
      <c r="B190" t="s">
        <v>15</v>
      </c>
      <c r="C190" t="s">
        <v>23</v>
      </c>
      <c r="D190" t="s">
        <v>37</v>
      </c>
      <c r="E190" t="s">
        <v>13</v>
      </c>
      <c r="F190">
        <v>4</v>
      </c>
      <c r="G190">
        <v>5620.64</v>
      </c>
      <c r="H190">
        <v>0</v>
      </c>
      <c r="I190">
        <v>5619.64</v>
      </c>
      <c r="J190">
        <v>22478.560000000001</v>
      </c>
      <c r="K190" s="1">
        <v>45620</v>
      </c>
      <c r="L190" t="s">
        <v>14</v>
      </c>
      <c r="M190" t="s">
        <v>64</v>
      </c>
      <c r="N190">
        <v>-1195.79</v>
      </c>
      <c r="O190" t="s">
        <v>74</v>
      </c>
      <c r="P190">
        <v>2024</v>
      </c>
      <c r="Q190">
        <f>IF(Nike_Sales_Cleaned[[#This Row],[Revenue]] = 0, 0, Nike_Sales_Cleaned[[#This Row],[Profit]]/Nike_Sales_Cleaned[[#This Row],[Revenue]])</f>
        <v>-5.3196912969514058E-2</v>
      </c>
    </row>
    <row r="191" spans="1:17" x14ac:dyDescent="0.3">
      <c r="A191">
        <v>2893</v>
      </c>
      <c r="B191" t="s">
        <v>15</v>
      </c>
      <c r="C191" t="s">
        <v>23</v>
      </c>
      <c r="D191" t="s">
        <v>24</v>
      </c>
      <c r="E191" t="s">
        <v>46</v>
      </c>
      <c r="F191">
        <v>1</v>
      </c>
      <c r="G191">
        <v>7557.71</v>
      </c>
      <c r="H191">
        <v>0.61</v>
      </c>
      <c r="I191">
        <v>7557.32</v>
      </c>
      <c r="J191">
        <v>7557.32</v>
      </c>
      <c r="K191" s="1">
        <v>45748</v>
      </c>
      <c r="L191" t="s">
        <v>18</v>
      </c>
      <c r="M191" t="s">
        <v>65</v>
      </c>
      <c r="N191">
        <v>780.43</v>
      </c>
      <c r="O191" t="s">
        <v>75</v>
      </c>
      <c r="P191">
        <v>2025</v>
      </c>
      <c r="Q191">
        <f>IF(Nike_Sales_Cleaned[[#This Row],[Revenue]] = 0, 0, Nike_Sales_Cleaned[[#This Row],[Profit]]/Nike_Sales_Cleaned[[#This Row],[Revenue]])</f>
        <v>0.10326808974610047</v>
      </c>
    </row>
    <row r="192" spans="1:17" x14ac:dyDescent="0.3">
      <c r="A192">
        <v>2899</v>
      </c>
      <c r="B192" t="s">
        <v>27</v>
      </c>
      <c r="C192" t="s">
        <v>31</v>
      </c>
      <c r="D192" t="s">
        <v>48</v>
      </c>
      <c r="E192" t="s">
        <v>22</v>
      </c>
      <c r="F192">
        <v>3</v>
      </c>
      <c r="G192">
        <v>5355.64</v>
      </c>
      <c r="H192">
        <v>0</v>
      </c>
      <c r="I192">
        <v>5354.64</v>
      </c>
      <c r="J192">
        <v>16063.920000000002</v>
      </c>
      <c r="K192" s="1">
        <v>45794</v>
      </c>
      <c r="L192" t="s">
        <v>14</v>
      </c>
      <c r="M192" t="s">
        <v>63</v>
      </c>
      <c r="N192">
        <v>-91.78</v>
      </c>
      <c r="O192" t="s">
        <v>74</v>
      </c>
      <c r="P192">
        <v>2025</v>
      </c>
      <c r="Q192">
        <f>IF(Nike_Sales_Cleaned[[#This Row],[Revenue]] = 0, 0, Nike_Sales_Cleaned[[#This Row],[Profit]]/Nike_Sales_Cleaned[[#This Row],[Revenue]])</f>
        <v>-5.7134248676537231E-3</v>
      </c>
    </row>
    <row r="193" spans="1:17" x14ac:dyDescent="0.3">
      <c r="A193">
        <v>2006</v>
      </c>
      <c r="B193" t="s">
        <v>27</v>
      </c>
      <c r="C193" t="s">
        <v>20</v>
      </c>
      <c r="D193" t="s">
        <v>30</v>
      </c>
      <c r="E193" t="s">
        <v>25</v>
      </c>
      <c r="F193">
        <v>2</v>
      </c>
      <c r="G193">
        <v>6216.29</v>
      </c>
      <c r="H193">
        <v>0</v>
      </c>
      <c r="I193">
        <v>6215.29</v>
      </c>
      <c r="J193">
        <v>12430.58</v>
      </c>
      <c r="K193" s="1">
        <v>45195</v>
      </c>
      <c r="L193" t="s">
        <v>18</v>
      </c>
      <c r="M193" t="s">
        <v>63</v>
      </c>
      <c r="N193">
        <v>-716.79</v>
      </c>
      <c r="O193" t="s">
        <v>74</v>
      </c>
      <c r="P193">
        <v>2023</v>
      </c>
      <c r="Q193">
        <f>IF(Nike_Sales_Cleaned[[#This Row],[Revenue]] = 0, 0, Nike_Sales_Cleaned[[#This Row],[Profit]]/Nike_Sales_Cleaned[[#This Row],[Revenue]])</f>
        <v>-5.7663439678599063E-2</v>
      </c>
    </row>
    <row r="194" spans="1:17" x14ac:dyDescent="0.3">
      <c r="A194">
        <v>2904</v>
      </c>
      <c r="B194" t="s">
        <v>15</v>
      </c>
      <c r="C194" t="s">
        <v>16</v>
      </c>
      <c r="D194" t="s">
        <v>17</v>
      </c>
      <c r="E194" t="s">
        <v>33</v>
      </c>
      <c r="F194">
        <v>2</v>
      </c>
      <c r="G194">
        <v>5234.1550000000007</v>
      </c>
      <c r="H194">
        <v>0.54</v>
      </c>
      <c r="I194">
        <v>5233.6950000000006</v>
      </c>
      <c r="J194">
        <v>10467.390000000001</v>
      </c>
      <c r="K194" s="1">
        <v>45776</v>
      </c>
      <c r="L194" t="s">
        <v>14</v>
      </c>
      <c r="M194" t="s">
        <v>64</v>
      </c>
      <c r="N194">
        <v>2711.75</v>
      </c>
      <c r="O194" t="s">
        <v>75</v>
      </c>
      <c r="P194">
        <v>2025</v>
      </c>
      <c r="Q194">
        <f>IF(Nike_Sales_Cleaned[[#This Row],[Revenue]] = 0, 0, Nike_Sales_Cleaned[[#This Row],[Profit]]/Nike_Sales_Cleaned[[#This Row],[Revenue]])</f>
        <v>0.2590664912647756</v>
      </c>
    </row>
    <row r="195" spans="1:17" x14ac:dyDescent="0.3">
      <c r="A195">
        <v>2906</v>
      </c>
      <c r="B195" t="s">
        <v>15</v>
      </c>
      <c r="C195" t="s">
        <v>20</v>
      </c>
      <c r="D195" t="s">
        <v>30</v>
      </c>
      <c r="E195" t="s">
        <v>44</v>
      </c>
      <c r="F195">
        <v>1</v>
      </c>
      <c r="G195">
        <v>6216.29</v>
      </c>
      <c r="H195">
        <v>0</v>
      </c>
      <c r="I195">
        <v>6215.29</v>
      </c>
      <c r="J195">
        <v>6215.29</v>
      </c>
      <c r="K195" s="1">
        <v>45529</v>
      </c>
      <c r="L195" t="s">
        <v>18</v>
      </c>
      <c r="M195" t="s">
        <v>65</v>
      </c>
      <c r="N195">
        <v>-291.45</v>
      </c>
      <c r="O195" t="s">
        <v>74</v>
      </c>
      <c r="P195">
        <v>2024</v>
      </c>
      <c r="Q195">
        <f>IF(Nike_Sales_Cleaned[[#This Row],[Revenue]] = 0, 0, Nike_Sales_Cleaned[[#This Row],[Profit]]/Nike_Sales_Cleaned[[#This Row],[Revenue]])</f>
        <v>-4.6892421753449959E-2</v>
      </c>
    </row>
    <row r="196" spans="1:17" x14ac:dyDescent="0.3">
      <c r="A196">
        <v>2912</v>
      </c>
      <c r="B196" t="s">
        <v>10</v>
      </c>
      <c r="C196" t="s">
        <v>23</v>
      </c>
      <c r="D196" t="s">
        <v>24</v>
      </c>
      <c r="E196" t="s">
        <v>25</v>
      </c>
      <c r="F196">
        <v>2</v>
      </c>
      <c r="G196">
        <v>7557.71</v>
      </c>
      <c r="H196">
        <v>0.98</v>
      </c>
      <c r="I196">
        <v>7557.69</v>
      </c>
      <c r="J196">
        <v>15115.38</v>
      </c>
      <c r="K196" s="1">
        <v>45358</v>
      </c>
      <c r="L196" t="s">
        <v>14</v>
      </c>
      <c r="M196" t="s">
        <v>64</v>
      </c>
      <c r="N196">
        <v>1218.22</v>
      </c>
      <c r="O196" t="s">
        <v>75</v>
      </c>
      <c r="P196">
        <v>2024</v>
      </c>
      <c r="Q196">
        <f>IF(Nike_Sales_Cleaned[[#This Row],[Revenue]] = 0, 0, Nike_Sales_Cleaned[[#This Row],[Profit]]/Nike_Sales_Cleaned[[#This Row],[Revenue]])</f>
        <v>8.0594731988213333E-2</v>
      </c>
    </row>
    <row r="197" spans="1:17" x14ac:dyDescent="0.3">
      <c r="A197">
        <v>2928</v>
      </c>
      <c r="B197" t="s">
        <v>15</v>
      </c>
      <c r="C197" t="s">
        <v>20</v>
      </c>
      <c r="D197" t="s">
        <v>30</v>
      </c>
      <c r="E197" t="s">
        <v>36</v>
      </c>
      <c r="F197">
        <v>3</v>
      </c>
      <c r="G197">
        <v>6216.29</v>
      </c>
      <c r="H197">
        <v>0</v>
      </c>
      <c r="I197">
        <v>6215.29</v>
      </c>
      <c r="J197">
        <v>18645.87</v>
      </c>
      <c r="K197" s="1">
        <v>45542</v>
      </c>
      <c r="L197" t="s">
        <v>14</v>
      </c>
      <c r="M197" t="s">
        <v>65</v>
      </c>
      <c r="N197">
        <v>-1064.8599999999999</v>
      </c>
      <c r="O197" t="s">
        <v>74</v>
      </c>
      <c r="P197">
        <v>2024</v>
      </c>
      <c r="Q197">
        <f>IF(Nike_Sales_Cleaned[[#This Row],[Revenue]] = 0, 0, Nike_Sales_Cleaned[[#This Row],[Profit]]/Nike_Sales_Cleaned[[#This Row],[Revenue]])</f>
        <v>-5.710969775076196E-2</v>
      </c>
    </row>
    <row r="198" spans="1:17" x14ac:dyDescent="0.3">
      <c r="A198">
        <v>2935</v>
      </c>
      <c r="B198" t="s">
        <v>27</v>
      </c>
      <c r="C198" t="s">
        <v>20</v>
      </c>
      <c r="D198" t="s">
        <v>45</v>
      </c>
      <c r="E198" t="s">
        <v>22</v>
      </c>
      <c r="F198">
        <v>4</v>
      </c>
      <c r="G198">
        <v>6202.99</v>
      </c>
      <c r="H198">
        <v>0</v>
      </c>
      <c r="I198">
        <v>6201.99</v>
      </c>
      <c r="J198">
        <v>24807.96</v>
      </c>
      <c r="K198" s="1">
        <v>45425</v>
      </c>
      <c r="L198" t="s">
        <v>14</v>
      </c>
      <c r="M198" t="s">
        <v>61</v>
      </c>
      <c r="N198">
        <v>478.07</v>
      </c>
      <c r="O198" t="s">
        <v>74</v>
      </c>
      <c r="P198">
        <v>2024</v>
      </c>
      <c r="Q198">
        <f>IF(Nike_Sales_Cleaned[[#This Row],[Revenue]] = 0, 0, Nike_Sales_Cleaned[[#This Row],[Profit]]/Nike_Sales_Cleaned[[#This Row],[Revenue]])</f>
        <v>1.9270830813980674E-2</v>
      </c>
    </row>
    <row r="199" spans="1:17" x14ac:dyDescent="0.3">
      <c r="A199">
        <v>2936</v>
      </c>
      <c r="B199" t="s">
        <v>15</v>
      </c>
      <c r="C199" t="s">
        <v>11</v>
      </c>
      <c r="D199" t="s">
        <v>26</v>
      </c>
      <c r="E199" t="s">
        <v>25</v>
      </c>
      <c r="F199">
        <v>1</v>
      </c>
      <c r="G199">
        <v>5649.73</v>
      </c>
      <c r="H199">
        <v>0.28999999999999998</v>
      </c>
      <c r="I199">
        <v>5649.0199999999995</v>
      </c>
      <c r="J199">
        <v>5649.0199999999995</v>
      </c>
      <c r="K199" s="1">
        <v>45504</v>
      </c>
      <c r="L199" t="s">
        <v>18</v>
      </c>
      <c r="M199" t="s">
        <v>62</v>
      </c>
      <c r="N199">
        <v>1933.1</v>
      </c>
      <c r="O199" t="s">
        <v>78</v>
      </c>
      <c r="P199">
        <v>2024</v>
      </c>
      <c r="Q199">
        <f>IF(Nike_Sales_Cleaned[[#This Row],[Revenue]] = 0, 0, Nike_Sales_Cleaned[[#This Row],[Profit]]/Nike_Sales_Cleaned[[#This Row],[Revenue]])</f>
        <v>0.34220094812905605</v>
      </c>
    </row>
    <row r="200" spans="1:17" x14ac:dyDescent="0.3">
      <c r="A200">
        <v>2938</v>
      </c>
      <c r="B200" t="s">
        <v>10</v>
      </c>
      <c r="C200" t="s">
        <v>16</v>
      </c>
      <c r="D200" t="s">
        <v>42</v>
      </c>
      <c r="E200" t="s">
        <v>22</v>
      </c>
      <c r="F200">
        <v>1</v>
      </c>
      <c r="G200">
        <v>5940.3850000000002</v>
      </c>
      <c r="H200">
        <v>0</v>
      </c>
      <c r="I200">
        <v>5939.3850000000002</v>
      </c>
      <c r="J200">
        <v>5939.3850000000002</v>
      </c>
      <c r="K200" s="1">
        <v>45671</v>
      </c>
      <c r="L200" t="s">
        <v>14</v>
      </c>
      <c r="M200" t="s">
        <v>65</v>
      </c>
      <c r="N200">
        <v>2596.64</v>
      </c>
      <c r="O200" t="s">
        <v>74</v>
      </c>
      <c r="P200">
        <v>2025</v>
      </c>
      <c r="Q200">
        <f>IF(Nike_Sales_Cleaned[[#This Row],[Revenue]] = 0, 0, Nike_Sales_Cleaned[[#This Row],[Profit]]/Nike_Sales_Cleaned[[#This Row],[Revenue]])</f>
        <v>0.43719004577073212</v>
      </c>
    </row>
    <row r="201" spans="1:17" x14ac:dyDescent="0.3">
      <c r="A201">
        <v>2942</v>
      </c>
      <c r="B201" t="s">
        <v>15</v>
      </c>
      <c r="C201" t="s">
        <v>11</v>
      </c>
      <c r="D201" t="s">
        <v>26</v>
      </c>
      <c r="E201" t="s">
        <v>46</v>
      </c>
      <c r="F201">
        <v>4</v>
      </c>
      <c r="G201">
        <v>5649.73</v>
      </c>
      <c r="H201">
        <v>0.56999999999999995</v>
      </c>
      <c r="I201">
        <v>5649.2999999999993</v>
      </c>
      <c r="J201">
        <v>22597.199999999997</v>
      </c>
      <c r="K201" s="1">
        <v>45763</v>
      </c>
      <c r="L201" t="s">
        <v>14</v>
      </c>
      <c r="M201" t="s">
        <v>64</v>
      </c>
      <c r="N201">
        <v>-68.53</v>
      </c>
      <c r="O201" t="s">
        <v>75</v>
      </c>
      <c r="P201">
        <v>2025</v>
      </c>
      <c r="Q201">
        <f>IF(Nike_Sales_Cleaned[[#This Row],[Revenue]] = 0, 0, Nike_Sales_Cleaned[[#This Row],[Profit]]/Nike_Sales_Cleaned[[#This Row],[Revenue]])</f>
        <v>-3.0326766148018342E-3</v>
      </c>
    </row>
    <row r="202" spans="1:17" x14ac:dyDescent="0.3">
      <c r="A202">
        <v>2966</v>
      </c>
      <c r="B202" t="s">
        <v>10</v>
      </c>
      <c r="C202" t="s">
        <v>11</v>
      </c>
      <c r="D202" t="s">
        <v>26</v>
      </c>
      <c r="E202" t="s">
        <v>49</v>
      </c>
      <c r="F202">
        <v>3</v>
      </c>
      <c r="G202">
        <v>5649.73</v>
      </c>
      <c r="H202">
        <v>0</v>
      </c>
      <c r="I202">
        <v>5648.73</v>
      </c>
      <c r="J202">
        <v>16946.189999999999</v>
      </c>
      <c r="K202" s="1">
        <v>45715</v>
      </c>
      <c r="L202" t="s">
        <v>14</v>
      </c>
      <c r="M202" t="s">
        <v>62</v>
      </c>
      <c r="N202">
        <v>333.36</v>
      </c>
      <c r="O202" t="s">
        <v>74</v>
      </c>
      <c r="P202">
        <v>2025</v>
      </c>
      <c r="Q202">
        <f>IF(Nike_Sales_Cleaned[[#This Row],[Revenue]] = 0, 0, Nike_Sales_Cleaned[[#This Row],[Profit]]/Nike_Sales_Cleaned[[#This Row],[Revenue]])</f>
        <v>1.9671678412669754E-2</v>
      </c>
    </row>
    <row r="203" spans="1:17" x14ac:dyDescent="0.3">
      <c r="A203">
        <v>2975</v>
      </c>
      <c r="B203" t="s">
        <v>10</v>
      </c>
      <c r="C203" t="s">
        <v>16</v>
      </c>
      <c r="D203" t="s">
        <v>29</v>
      </c>
      <c r="E203" t="s">
        <v>46</v>
      </c>
      <c r="F203">
        <v>1</v>
      </c>
      <c r="G203">
        <v>6880.21</v>
      </c>
      <c r="H203">
        <v>0</v>
      </c>
      <c r="I203">
        <v>6879.21</v>
      </c>
      <c r="J203">
        <v>6879.21</v>
      </c>
      <c r="K203" s="1">
        <v>45606</v>
      </c>
      <c r="L203" t="s">
        <v>14</v>
      </c>
      <c r="M203" t="s">
        <v>65</v>
      </c>
      <c r="N203">
        <v>3279.17</v>
      </c>
      <c r="O203" t="s">
        <v>74</v>
      </c>
      <c r="P203">
        <v>2024</v>
      </c>
      <c r="Q203">
        <f>IF(Nike_Sales_Cleaned[[#This Row],[Revenue]] = 0, 0, Nike_Sales_Cleaned[[#This Row],[Profit]]/Nike_Sales_Cleaned[[#This Row],[Revenue]])</f>
        <v>0.47667828137242502</v>
      </c>
    </row>
    <row r="204" spans="1:17" x14ac:dyDescent="0.3">
      <c r="A204">
        <v>2981</v>
      </c>
      <c r="B204" t="s">
        <v>10</v>
      </c>
      <c r="C204" t="s">
        <v>16</v>
      </c>
      <c r="D204" t="s">
        <v>19</v>
      </c>
      <c r="E204" t="s">
        <v>13</v>
      </c>
      <c r="F204">
        <v>4</v>
      </c>
      <c r="G204">
        <v>5178.83</v>
      </c>
      <c r="H204">
        <v>0</v>
      </c>
      <c r="I204">
        <v>5177.83</v>
      </c>
      <c r="J204">
        <v>20711.32</v>
      </c>
      <c r="K204" s="1">
        <v>45667</v>
      </c>
      <c r="L204" t="s">
        <v>18</v>
      </c>
      <c r="M204" t="s">
        <v>62</v>
      </c>
      <c r="N204">
        <v>2777.67</v>
      </c>
      <c r="O204" t="s">
        <v>74</v>
      </c>
      <c r="P204">
        <v>2025</v>
      </c>
      <c r="Q204">
        <f>IF(Nike_Sales_Cleaned[[#This Row],[Revenue]] = 0, 0, Nike_Sales_Cleaned[[#This Row],[Profit]]/Nike_Sales_Cleaned[[#This Row],[Revenue]])</f>
        <v>0.13411361516310888</v>
      </c>
    </row>
    <row r="205" spans="1:17" x14ac:dyDescent="0.3">
      <c r="A205">
        <v>2989</v>
      </c>
      <c r="B205" t="s">
        <v>27</v>
      </c>
      <c r="C205" t="s">
        <v>16</v>
      </c>
      <c r="D205" t="s">
        <v>29</v>
      </c>
      <c r="E205" t="s">
        <v>13</v>
      </c>
      <c r="F205">
        <v>1</v>
      </c>
      <c r="G205">
        <v>6880.21</v>
      </c>
      <c r="H205">
        <v>0</v>
      </c>
      <c r="I205">
        <v>6879.21</v>
      </c>
      <c r="J205">
        <v>6879.21</v>
      </c>
      <c r="K205" s="1">
        <v>45336</v>
      </c>
      <c r="L205" t="s">
        <v>14</v>
      </c>
      <c r="M205" t="s">
        <v>64</v>
      </c>
      <c r="N205">
        <v>2459.52</v>
      </c>
      <c r="O205" t="s">
        <v>74</v>
      </c>
      <c r="P205">
        <v>2024</v>
      </c>
      <c r="Q205">
        <f>IF(Nike_Sales_Cleaned[[#This Row],[Revenue]] = 0, 0, Nike_Sales_Cleaned[[#This Row],[Profit]]/Nike_Sales_Cleaned[[#This Row],[Revenue]])</f>
        <v>0.3575294256171857</v>
      </c>
    </row>
    <row r="206" spans="1:17" x14ac:dyDescent="0.3">
      <c r="A206">
        <v>2993</v>
      </c>
      <c r="B206" t="s">
        <v>27</v>
      </c>
      <c r="C206" t="s">
        <v>16</v>
      </c>
      <c r="D206" t="s">
        <v>19</v>
      </c>
      <c r="E206" t="s">
        <v>13</v>
      </c>
      <c r="F206">
        <v>4</v>
      </c>
      <c r="G206">
        <v>5178.83</v>
      </c>
      <c r="H206">
        <v>0</v>
      </c>
      <c r="I206">
        <v>5177.83</v>
      </c>
      <c r="J206">
        <v>20711.32</v>
      </c>
      <c r="K206" s="1">
        <v>45578</v>
      </c>
      <c r="L206" t="s">
        <v>18</v>
      </c>
      <c r="M206" t="s">
        <v>61</v>
      </c>
      <c r="N206">
        <v>1770.74</v>
      </c>
      <c r="O206" t="s">
        <v>74</v>
      </c>
      <c r="P206">
        <v>2024</v>
      </c>
      <c r="Q206">
        <f>IF(Nike_Sales_Cleaned[[#This Row],[Revenue]] = 0, 0, Nike_Sales_Cleaned[[#This Row],[Profit]]/Nike_Sales_Cleaned[[#This Row],[Revenue]])</f>
        <v>8.5496240703151705E-2</v>
      </c>
    </row>
    <row r="207" spans="1:17" x14ac:dyDescent="0.3">
      <c r="A207">
        <v>3003</v>
      </c>
      <c r="B207" t="s">
        <v>27</v>
      </c>
      <c r="C207" t="s">
        <v>31</v>
      </c>
      <c r="D207" t="s">
        <v>39</v>
      </c>
      <c r="E207" t="s">
        <v>25</v>
      </c>
      <c r="F207">
        <v>2</v>
      </c>
      <c r="G207">
        <v>7845.46</v>
      </c>
      <c r="H207">
        <v>0</v>
      </c>
      <c r="I207">
        <v>7844.46</v>
      </c>
      <c r="J207">
        <v>15688.92</v>
      </c>
      <c r="K207" s="1">
        <v>45141</v>
      </c>
      <c r="L207" t="s">
        <v>14</v>
      </c>
      <c r="M207" t="s">
        <v>64</v>
      </c>
      <c r="N207">
        <v>-646.26</v>
      </c>
      <c r="O207" t="s">
        <v>74</v>
      </c>
      <c r="P207">
        <v>2023</v>
      </c>
      <c r="Q207">
        <f>IF(Nike_Sales_Cleaned[[#This Row],[Revenue]] = 0, 0, Nike_Sales_Cleaned[[#This Row],[Profit]]/Nike_Sales_Cleaned[[#This Row],[Revenue]])</f>
        <v>-4.1192127947621636E-2</v>
      </c>
    </row>
    <row r="208" spans="1:17" x14ac:dyDescent="0.3">
      <c r="A208">
        <v>3013</v>
      </c>
      <c r="B208" t="s">
        <v>10</v>
      </c>
      <c r="C208" t="s">
        <v>31</v>
      </c>
      <c r="D208" t="s">
        <v>39</v>
      </c>
      <c r="E208" t="s">
        <v>25</v>
      </c>
      <c r="F208">
        <v>4</v>
      </c>
      <c r="G208">
        <v>7845.46</v>
      </c>
      <c r="H208">
        <v>0.96</v>
      </c>
      <c r="I208">
        <v>7845.42</v>
      </c>
      <c r="J208">
        <v>31381.68</v>
      </c>
      <c r="K208" s="1">
        <v>45824</v>
      </c>
      <c r="L208" t="s">
        <v>18</v>
      </c>
      <c r="M208" t="s">
        <v>66</v>
      </c>
      <c r="N208">
        <v>1039.0899999999999</v>
      </c>
      <c r="O208" t="s">
        <v>75</v>
      </c>
      <c r="P208">
        <v>2025</v>
      </c>
      <c r="Q208">
        <f>IF(Nike_Sales_Cleaned[[#This Row],[Revenue]] = 0, 0, Nike_Sales_Cleaned[[#This Row],[Profit]]/Nike_Sales_Cleaned[[#This Row],[Revenue]])</f>
        <v>3.3111356689635475E-2</v>
      </c>
    </row>
    <row r="209" spans="1:17" x14ac:dyDescent="0.3">
      <c r="A209">
        <v>3021</v>
      </c>
      <c r="B209" t="s">
        <v>15</v>
      </c>
      <c r="C209" t="s">
        <v>16</v>
      </c>
      <c r="D209" t="s">
        <v>29</v>
      </c>
      <c r="E209" t="s">
        <v>36</v>
      </c>
      <c r="F209">
        <v>4</v>
      </c>
      <c r="G209">
        <v>6880.21</v>
      </c>
      <c r="H209">
        <v>0.42</v>
      </c>
      <c r="I209">
        <v>6879.63</v>
      </c>
      <c r="J209">
        <v>27518.52</v>
      </c>
      <c r="K209" s="1">
        <v>45190</v>
      </c>
      <c r="L209" t="s">
        <v>18</v>
      </c>
      <c r="M209" t="s">
        <v>61</v>
      </c>
      <c r="N209">
        <v>3050.7</v>
      </c>
      <c r="O209" t="s">
        <v>77</v>
      </c>
      <c r="P209">
        <v>2023</v>
      </c>
      <c r="Q209">
        <f>IF(Nike_Sales_Cleaned[[#This Row],[Revenue]] = 0, 0, Nike_Sales_Cleaned[[#This Row],[Profit]]/Nike_Sales_Cleaned[[#This Row],[Revenue]])</f>
        <v>0.11085988636016762</v>
      </c>
    </row>
    <row r="210" spans="1:17" x14ac:dyDescent="0.3">
      <c r="A210">
        <v>3025</v>
      </c>
      <c r="B210" t="s">
        <v>10</v>
      </c>
      <c r="C210" t="s">
        <v>20</v>
      </c>
      <c r="D210" t="s">
        <v>21</v>
      </c>
      <c r="E210" t="s">
        <v>22</v>
      </c>
      <c r="F210">
        <v>4</v>
      </c>
      <c r="G210">
        <v>4904.79</v>
      </c>
      <c r="H210">
        <v>0</v>
      </c>
      <c r="I210">
        <v>4903.79</v>
      </c>
      <c r="J210">
        <v>19615.16</v>
      </c>
      <c r="K210" s="1">
        <v>45529</v>
      </c>
      <c r="L210" t="s">
        <v>18</v>
      </c>
      <c r="M210" t="s">
        <v>61</v>
      </c>
      <c r="N210">
        <v>3005.88</v>
      </c>
      <c r="O210" t="s">
        <v>74</v>
      </c>
      <c r="P210">
        <v>2024</v>
      </c>
      <c r="Q210">
        <f>IF(Nike_Sales_Cleaned[[#This Row],[Revenue]] = 0, 0, Nike_Sales_Cleaned[[#This Row],[Profit]]/Nike_Sales_Cleaned[[#This Row],[Revenue]])</f>
        <v>0.15324269595557721</v>
      </c>
    </row>
    <row r="211" spans="1:17" x14ac:dyDescent="0.3">
      <c r="A211">
        <v>3027</v>
      </c>
      <c r="B211" t="s">
        <v>15</v>
      </c>
      <c r="C211" t="s">
        <v>11</v>
      </c>
      <c r="D211" t="s">
        <v>12</v>
      </c>
      <c r="E211" t="s">
        <v>22</v>
      </c>
      <c r="F211">
        <v>2</v>
      </c>
      <c r="G211">
        <v>5873.83</v>
      </c>
      <c r="H211">
        <v>0</v>
      </c>
      <c r="I211">
        <v>5872.83</v>
      </c>
      <c r="J211">
        <v>11745.66</v>
      </c>
      <c r="K211" s="1">
        <v>45590</v>
      </c>
      <c r="L211" t="s">
        <v>18</v>
      </c>
      <c r="M211" t="s">
        <v>65</v>
      </c>
      <c r="N211">
        <v>-1038.79</v>
      </c>
      <c r="O211" t="s">
        <v>74</v>
      </c>
      <c r="P211">
        <v>2024</v>
      </c>
      <c r="Q211">
        <f>IF(Nike_Sales_Cleaned[[#This Row],[Revenue]] = 0, 0, Nike_Sales_Cleaned[[#This Row],[Profit]]/Nike_Sales_Cleaned[[#This Row],[Revenue]])</f>
        <v>-8.8440326043832354E-2</v>
      </c>
    </row>
    <row r="212" spans="1:17" x14ac:dyDescent="0.3">
      <c r="A212">
        <v>3028</v>
      </c>
      <c r="B212" t="s">
        <v>10</v>
      </c>
      <c r="C212" t="s">
        <v>23</v>
      </c>
      <c r="D212" t="s">
        <v>35</v>
      </c>
      <c r="E212" t="s">
        <v>22</v>
      </c>
      <c r="F212">
        <v>4</v>
      </c>
      <c r="G212">
        <v>5282.31</v>
      </c>
      <c r="H212">
        <v>0</v>
      </c>
      <c r="I212">
        <v>5281.31</v>
      </c>
      <c r="J212">
        <v>21125.24</v>
      </c>
      <c r="K212" s="1">
        <v>45686</v>
      </c>
      <c r="L212" t="s">
        <v>18</v>
      </c>
      <c r="M212" t="s">
        <v>66</v>
      </c>
      <c r="N212">
        <v>-471.86</v>
      </c>
      <c r="O212" t="s">
        <v>74</v>
      </c>
      <c r="P212">
        <v>2025</v>
      </c>
      <c r="Q212">
        <f>IF(Nike_Sales_Cleaned[[#This Row],[Revenue]] = 0, 0, Nike_Sales_Cleaned[[#This Row],[Profit]]/Nike_Sales_Cleaned[[#This Row],[Revenue]])</f>
        <v>-2.2336314285660186E-2</v>
      </c>
    </row>
    <row r="213" spans="1:17" x14ac:dyDescent="0.3">
      <c r="A213">
        <v>3031</v>
      </c>
      <c r="B213" t="s">
        <v>10</v>
      </c>
      <c r="C213" t="s">
        <v>16</v>
      </c>
      <c r="D213" t="s">
        <v>19</v>
      </c>
      <c r="E213" t="s">
        <v>13</v>
      </c>
      <c r="F213">
        <v>4</v>
      </c>
      <c r="G213">
        <v>5178.83</v>
      </c>
      <c r="H213">
        <v>0</v>
      </c>
      <c r="I213">
        <v>5177.83</v>
      </c>
      <c r="J213">
        <v>20711.32</v>
      </c>
      <c r="K213" s="1">
        <v>45210</v>
      </c>
      <c r="L213" t="s">
        <v>14</v>
      </c>
      <c r="M213" t="s">
        <v>66</v>
      </c>
      <c r="N213">
        <v>-117.68</v>
      </c>
      <c r="O213" t="s">
        <v>74</v>
      </c>
      <c r="P213">
        <v>2023</v>
      </c>
      <c r="Q213">
        <f>IF(Nike_Sales_Cleaned[[#This Row],[Revenue]] = 0, 0, Nike_Sales_Cleaned[[#This Row],[Profit]]/Nike_Sales_Cleaned[[#This Row],[Revenue]])</f>
        <v>-5.681916942039426E-3</v>
      </c>
    </row>
    <row r="214" spans="1:17" x14ac:dyDescent="0.3">
      <c r="A214">
        <v>3036</v>
      </c>
      <c r="B214" t="s">
        <v>10</v>
      </c>
      <c r="C214" t="s">
        <v>20</v>
      </c>
      <c r="D214" t="s">
        <v>45</v>
      </c>
      <c r="E214" t="s">
        <v>28</v>
      </c>
      <c r="F214">
        <v>2</v>
      </c>
      <c r="G214">
        <v>6202.99</v>
      </c>
      <c r="H214">
        <v>0</v>
      </c>
      <c r="I214">
        <v>6201.99</v>
      </c>
      <c r="J214">
        <v>12403.98</v>
      </c>
      <c r="K214" s="1">
        <v>45580</v>
      </c>
      <c r="L214" t="s">
        <v>18</v>
      </c>
      <c r="M214" t="s">
        <v>61</v>
      </c>
      <c r="N214">
        <v>1129.1099999999999</v>
      </c>
      <c r="O214" t="s">
        <v>74</v>
      </c>
      <c r="P214">
        <v>2024</v>
      </c>
      <c r="Q214">
        <f>IF(Nike_Sales_Cleaned[[#This Row],[Revenue]] = 0, 0, Nike_Sales_Cleaned[[#This Row],[Profit]]/Nike_Sales_Cleaned[[#This Row],[Revenue]])</f>
        <v>9.1028040999743626E-2</v>
      </c>
    </row>
    <row r="215" spans="1:17" x14ac:dyDescent="0.3">
      <c r="A215">
        <v>3043</v>
      </c>
      <c r="B215" t="s">
        <v>27</v>
      </c>
      <c r="C215" t="s">
        <v>23</v>
      </c>
      <c r="D215" t="s">
        <v>24</v>
      </c>
      <c r="E215" t="s">
        <v>22</v>
      </c>
      <c r="F215">
        <v>2</v>
      </c>
      <c r="G215">
        <v>7557.71</v>
      </c>
      <c r="H215">
        <v>0</v>
      </c>
      <c r="I215">
        <v>7556.71</v>
      </c>
      <c r="J215">
        <v>15113.42</v>
      </c>
      <c r="K215" s="1">
        <v>45758</v>
      </c>
      <c r="L215" t="s">
        <v>18</v>
      </c>
      <c r="M215" t="s">
        <v>65</v>
      </c>
      <c r="N215">
        <v>147.79</v>
      </c>
      <c r="O215" t="s">
        <v>74</v>
      </c>
      <c r="P215">
        <v>2025</v>
      </c>
      <c r="Q215">
        <f>IF(Nike_Sales_Cleaned[[#This Row],[Revenue]] = 0, 0, Nike_Sales_Cleaned[[#This Row],[Profit]]/Nike_Sales_Cleaned[[#This Row],[Revenue]])</f>
        <v>9.7787264563546829E-3</v>
      </c>
    </row>
    <row r="216" spans="1:17" x14ac:dyDescent="0.3">
      <c r="A216">
        <v>3048</v>
      </c>
      <c r="B216" t="s">
        <v>15</v>
      </c>
      <c r="C216" t="s">
        <v>20</v>
      </c>
      <c r="D216" t="s">
        <v>30</v>
      </c>
      <c r="E216" t="s">
        <v>36</v>
      </c>
      <c r="F216">
        <v>1</v>
      </c>
      <c r="G216">
        <v>6216.29</v>
      </c>
      <c r="H216">
        <v>0.23</v>
      </c>
      <c r="I216">
        <v>6215.5199999999995</v>
      </c>
      <c r="J216">
        <v>6215.5199999999995</v>
      </c>
      <c r="K216" s="1">
        <v>45855</v>
      </c>
      <c r="L216" t="s">
        <v>18</v>
      </c>
      <c r="M216" t="s">
        <v>61</v>
      </c>
      <c r="N216">
        <v>517.16999999999996</v>
      </c>
      <c r="O216" t="s">
        <v>78</v>
      </c>
      <c r="P216">
        <v>2025</v>
      </c>
      <c r="Q216">
        <f>IF(Nike_Sales_Cleaned[[#This Row],[Revenue]] = 0, 0, Nike_Sales_Cleaned[[#This Row],[Profit]]/Nike_Sales_Cleaned[[#This Row],[Revenue]])</f>
        <v>8.3206232141478112E-2</v>
      </c>
    </row>
    <row r="217" spans="1:17" x14ac:dyDescent="0.3">
      <c r="A217">
        <v>3059</v>
      </c>
      <c r="B217" t="s">
        <v>15</v>
      </c>
      <c r="C217" t="s">
        <v>23</v>
      </c>
      <c r="D217" t="s">
        <v>24</v>
      </c>
      <c r="E217" t="s">
        <v>22</v>
      </c>
      <c r="F217">
        <v>3</v>
      </c>
      <c r="G217">
        <v>7557.71</v>
      </c>
      <c r="H217">
        <v>1</v>
      </c>
      <c r="I217">
        <v>7557.71</v>
      </c>
      <c r="J217">
        <v>22673.13</v>
      </c>
      <c r="K217" s="1">
        <v>45827</v>
      </c>
      <c r="L217" t="s">
        <v>14</v>
      </c>
      <c r="M217" t="s">
        <v>61</v>
      </c>
      <c r="N217">
        <v>3692.43</v>
      </c>
      <c r="O217" t="s">
        <v>75</v>
      </c>
      <c r="P217">
        <v>2025</v>
      </c>
      <c r="Q217">
        <f>IF(Nike_Sales_Cleaned[[#This Row],[Revenue]] = 0, 0, Nike_Sales_Cleaned[[#This Row],[Profit]]/Nike_Sales_Cleaned[[#This Row],[Revenue]])</f>
        <v>0.16285488593767158</v>
      </c>
    </row>
    <row r="218" spans="1:17" x14ac:dyDescent="0.3">
      <c r="A218">
        <v>3063</v>
      </c>
      <c r="B218" t="s">
        <v>10</v>
      </c>
      <c r="C218" t="s">
        <v>23</v>
      </c>
      <c r="D218" t="s">
        <v>35</v>
      </c>
      <c r="E218" t="s">
        <v>13</v>
      </c>
      <c r="F218">
        <v>2</v>
      </c>
      <c r="G218">
        <v>5282.31</v>
      </c>
      <c r="H218">
        <v>0</v>
      </c>
      <c r="I218">
        <v>5281.31</v>
      </c>
      <c r="J218">
        <v>10562.62</v>
      </c>
      <c r="K218" s="1">
        <v>45767</v>
      </c>
      <c r="L218" t="s">
        <v>14</v>
      </c>
      <c r="M218" t="s">
        <v>63</v>
      </c>
      <c r="N218">
        <v>3674.74</v>
      </c>
      <c r="O218" t="s">
        <v>74</v>
      </c>
      <c r="P218">
        <v>2025</v>
      </c>
      <c r="Q218">
        <f>IF(Nike_Sales_Cleaned[[#This Row],[Revenue]] = 0, 0, Nike_Sales_Cleaned[[#This Row],[Profit]]/Nike_Sales_Cleaned[[#This Row],[Revenue]])</f>
        <v>0.34790042622000977</v>
      </c>
    </row>
    <row r="219" spans="1:17" x14ac:dyDescent="0.3">
      <c r="A219">
        <v>3067</v>
      </c>
      <c r="B219" t="s">
        <v>27</v>
      </c>
      <c r="C219" t="s">
        <v>20</v>
      </c>
      <c r="D219" t="s">
        <v>21</v>
      </c>
      <c r="E219" t="s">
        <v>33</v>
      </c>
      <c r="F219">
        <v>4</v>
      </c>
      <c r="G219">
        <v>4904.79</v>
      </c>
      <c r="H219">
        <v>0</v>
      </c>
      <c r="I219">
        <v>4903.79</v>
      </c>
      <c r="J219">
        <v>19615.16</v>
      </c>
      <c r="K219" s="1">
        <v>45356</v>
      </c>
      <c r="L219" t="s">
        <v>18</v>
      </c>
      <c r="M219" t="s">
        <v>61</v>
      </c>
      <c r="N219">
        <v>1939.56</v>
      </c>
      <c r="O219" t="s">
        <v>74</v>
      </c>
      <c r="P219">
        <v>2024</v>
      </c>
      <c r="Q219">
        <f>IF(Nike_Sales_Cleaned[[#This Row],[Revenue]] = 0, 0, Nike_Sales_Cleaned[[#This Row],[Profit]]/Nike_Sales_Cleaned[[#This Row],[Revenue]])</f>
        <v>9.8880661692282906E-2</v>
      </c>
    </row>
    <row r="220" spans="1:17" x14ac:dyDescent="0.3">
      <c r="A220">
        <v>3078</v>
      </c>
      <c r="B220" t="s">
        <v>27</v>
      </c>
      <c r="C220" t="s">
        <v>23</v>
      </c>
      <c r="D220" t="s">
        <v>37</v>
      </c>
      <c r="E220" t="s">
        <v>13</v>
      </c>
      <c r="F220">
        <v>1</v>
      </c>
      <c r="G220">
        <v>5620.64</v>
      </c>
      <c r="H220">
        <v>0</v>
      </c>
      <c r="I220">
        <v>5619.64</v>
      </c>
      <c r="J220">
        <v>5619.64</v>
      </c>
      <c r="K220" s="1">
        <v>45549</v>
      </c>
      <c r="L220" t="s">
        <v>14</v>
      </c>
      <c r="M220" t="s">
        <v>65</v>
      </c>
      <c r="N220">
        <v>1820.38</v>
      </c>
      <c r="O220" t="s">
        <v>74</v>
      </c>
      <c r="P220">
        <v>2024</v>
      </c>
      <c r="Q220">
        <f>IF(Nike_Sales_Cleaned[[#This Row],[Revenue]] = 0, 0, Nike_Sales_Cleaned[[#This Row],[Profit]]/Nike_Sales_Cleaned[[#This Row],[Revenue]])</f>
        <v>0.32393178210703888</v>
      </c>
    </row>
    <row r="221" spans="1:17" x14ac:dyDescent="0.3">
      <c r="A221">
        <v>3087</v>
      </c>
      <c r="B221" t="s">
        <v>10</v>
      </c>
      <c r="C221" t="s">
        <v>20</v>
      </c>
      <c r="D221" t="s">
        <v>30</v>
      </c>
      <c r="E221" t="s">
        <v>13</v>
      </c>
      <c r="F221">
        <v>3</v>
      </c>
      <c r="G221">
        <v>6216.29</v>
      </c>
      <c r="H221">
        <v>0</v>
      </c>
      <c r="I221">
        <v>6215.29</v>
      </c>
      <c r="J221">
        <v>18645.87</v>
      </c>
      <c r="K221" s="1">
        <v>45665</v>
      </c>
      <c r="L221" t="s">
        <v>18</v>
      </c>
      <c r="M221" t="s">
        <v>64</v>
      </c>
      <c r="N221">
        <v>2785.94</v>
      </c>
      <c r="O221" t="s">
        <v>74</v>
      </c>
      <c r="P221">
        <v>2025</v>
      </c>
      <c r="Q221">
        <f>IF(Nike_Sales_Cleaned[[#This Row],[Revenue]] = 0, 0, Nike_Sales_Cleaned[[#This Row],[Profit]]/Nike_Sales_Cleaned[[#This Row],[Revenue]])</f>
        <v>0.14941324808121048</v>
      </c>
    </row>
    <row r="222" spans="1:17" x14ac:dyDescent="0.3">
      <c r="A222">
        <v>3093</v>
      </c>
      <c r="B222" t="s">
        <v>15</v>
      </c>
      <c r="C222" t="s">
        <v>16</v>
      </c>
      <c r="D222" t="s">
        <v>17</v>
      </c>
      <c r="E222" t="s">
        <v>46</v>
      </c>
      <c r="F222">
        <v>3</v>
      </c>
      <c r="G222">
        <v>5234.1550000000007</v>
      </c>
      <c r="H222">
        <v>0</v>
      </c>
      <c r="I222">
        <v>5233.1550000000007</v>
      </c>
      <c r="J222">
        <v>15699.465000000002</v>
      </c>
      <c r="K222" s="1">
        <v>45837</v>
      </c>
      <c r="L222" t="s">
        <v>18</v>
      </c>
      <c r="M222" t="s">
        <v>66</v>
      </c>
      <c r="N222">
        <v>28.77</v>
      </c>
      <c r="O222" t="s">
        <v>74</v>
      </c>
      <c r="P222">
        <v>2025</v>
      </c>
      <c r="Q222">
        <f>IF(Nike_Sales_Cleaned[[#This Row],[Revenue]] = 0, 0, Nike_Sales_Cleaned[[#This Row],[Profit]]/Nike_Sales_Cleaned[[#This Row],[Revenue]])</f>
        <v>1.8325465230821557E-3</v>
      </c>
    </row>
    <row r="223" spans="1:17" x14ac:dyDescent="0.3">
      <c r="A223">
        <v>3100</v>
      </c>
      <c r="B223" t="s">
        <v>15</v>
      </c>
      <c r="C223" t="s">
        <v>11</v>
      </c>
      <c r="D223" t="s">
        <v>41</v>
      </c>
      <c r="E223" t="s">
        <v>44</v>
      </c>
      <c r="F223">
        <v>4</v>
      </c>
      <c r="G223">
        <v>7594.7199999999993</v>
      </c>
      <c r="H223">
        <v>0.97</v>
      </c>
      <c r="I223">
        <v>7594.69</v>
      </c>
      <c r="J223">
        <v>30378.76</v>
      </c>
      <c r="K223" s="1">
        <v>45838</v>
      </c>
      <c r="L223" t="s">
        <v>18</v>
      </c>
      <c r="M223" t="s">
        <v>63</v>
      </c>
      <c r="N223">
        <v>1861.15</v>
      </c>
      <c r="O223" t="s">
        <v>75</v>
      </c>
      <c r="P223">
        <v>2025</v>
      </c>
      <c r="Q223">
        <f>IF(Nike_Sales_Cleaned[[#This Row],[Revenue]] = 0, 0, Nike_Sales_Cleaned[[#This Row],[Profit]]/Nike_Sales_Cleaned[[#This Row],[Revenue]])</f>
        <v>6.1264844253024156E-2</v>
      </c>
    </row>
    <row r="224" spans="1:17" x14ac:dyDescent="0.3">
      <c r="A224">
        <v>2021</v>
      </c>
      <c r="B224" t="s">
        <v>27</v>
      </c>
      <c r="C224" t="s">
        <v>20</v>
      </c>
      <c r="D224" t="s">
        <v>21</v>
      </c>
      <c r="E224" t="s">
        <v>49</v>
      </c>
      <c r="F224">
        <v>3</v>
      </c>
      <c r="G224">
        <v>4904.79</v>
      </c>
      <c r="H224">
        <v>0</v>
      </c>
      <c r="I224">
        <v>4903.79</v>
      </c>
      <c r="J224">
        <v>14711.369999999999</v>
      </c>
      <c r="K224" s="1">
        <v>45830</v>
      </c>
      <c r="L224" t="s">
        <v>14</v>
      </c>
      <c r="M224" t="s">
        <v>64</v>
      </c>
      <c r="N224">
        <v>-1133.4000000000001</v>
      </c>
      <c r="O224" t="s">
        <v>74</v>
      </c>
      <c r="P224">
        <v>2025</v>
      </c>
      <c r="Q224">
        <f>IF(Nike_Sales_Cleaned[[#This Row],[Revenue]] = 0, 0, Nike_Sales_Cleaned[[#This Row],[Profit]]/Nike_Sales_Cleaned[[#This Row],[Revenue]])</f>
        <v>-7.7042450839044915E-2</v>
      </c>
    </row>
    <row r="225" spans="1:17" x14ac:dyDescent="0.3">
      <c r="A225">
        <v>3105</v>
      </c>
      <c r="B225" t="s">
        <v>15</v>
      </c>
      <c r="C225" t="s">
        <v>16</v>
      </c>
      <c r="D225" t="s">
        <v>42</v>
      </c>
      <c r="E225" t="s">
        <v>22</v>
      </c>
      <c r="F225">
        <v>4</v>
      </c>
      <c r="G225">
        <v>5940.3850000000002</v>
      </c>
      <c r="H225">
        <v>0.56999999999999995</v>
      </c>
      <c r="I225">
        <v>5939.9549999999999</v>
      </c>
      <c r="J225">
        <v>23759.82</v>
      </c>
      <c r="K225" s="1">
        <v>45626</v>
      </c>
      <c r="L225" t="s">
        <v>14</v>
      </c>
      <c r="M225" t="s">
        <v>62</v>
      </c>
      <c r="N225">
        <v>3176.71</v>
      </c>
      <c r="O225" t="s">
        <v>75</v>
      </c>
      <c r="P225">
        <v>2024</v>
      </c>
      <c r="Q225">
        <f>IF(Nike_Sales_Cleaned[[#This Row],[Revenue]] = 0, 0, Nike_Sales_Cleaned[[#This Row],[Profit]]/Nike_Sales_Cleaned[[#This Row],[Revenue]])</f>
        <v>0.13370092871073938</v>
      </c>
    </row>
    <row r="226" spans="1:17" x14ac:dyDescent="0.3">
      <c r="A226">
        <v>3114</v>
      </c>
      <c r="B226" t="s">
        <v>15</v>
      </c>
      <c r="C226" t="s">
        <v>23</v>
      </c>
      <c r="D226" t="s">
        <v>24</v>
      </c>
      <c r="E226" t="s">
        <v>22</v>
      </c>
      <c r="F226">
        <v>1</v>
      </c>
      <c r="G226">
        <v>7557.71</v>
      </c>
      <c r="H226">
        <v>0</v>
      </c>
      <c r="I226">
        <v>7556.71</v>
      </c>
      <c r="J226">
        <v>7556.71</v>
      </c>
      <c r="K226" s="1">
        <v>45743</v>
      </c>
      <c r="L226" t="s">
        <v>18</v>
      </c>
      <c r="M226" t="s">
        <v>64</v>
      </c>
      <c r="N226">
        <v>2752.18</v>
      </c>
      <c r="O226" t="s">
        <v>74</v>
      </c>
      <c r="P226">
        <v>2025</v>
      </c>
      <c r="Q226">
        <f>IF(Nike_Sales_Cleaned[[#This Row],[Revenue]] = 0, 0, Nike_Sales_Cleaned[[#This Row],[Profit]]/Nike_Sales_Cleaned[[#This Row],[Revenue]])</f>
        <v>0.36420346949929266</v>
      </c>
    </row>
    <row r="227" spans="1:17" x14ac:dyDescent="0.3">
      <c r="A227">
        <v>3116</v>
      </c>
      <c r="B227" t="s">
        <v>10</v>
      </c>
      <c r="C227" t="s">
        <v>31</v>
      </c>
      <c r="D227" t="s">
        <v>39</v>
      </c>
      <c r="E227" t="s">
        <v>13</v>
      </c>
      <c r="F227">
        <v>3</v>
      </c>
      <c r="G227">
        <v>7845.46</v>
      </c>
      <c r="H227">
        <v>0.06</v>
      </c>
      <c r="I227">
        <v>7844.52</v>
      </c>
      <c r="J227">
        <v>23533.56</v>
      </c>
      <c r="K227" s="1">
        <v>45617</v>
      </c>
      <c r="L227" t="s">
        <v>18</v>
      </c>
      <c r="M227" t="s">
        <v>66</v>
      </c>
      <c r="N227">
        <v>-236.15</v>
      </c>
      <c r="O227" t="s">
        <v>74</v>
      </c>
      <c r="P227">
        <v>2024</v>
      </c>
      <c r="Q227">
        <f>IF(Nike_Sales_Cleaned[[#This Row],[Revenue]] = 0, 0, Nike_Sales_Cleaned[[#This Row],[Profit]]/Nike_Sales_Cleaned[[#This Row],[Revenue]])</f>
        <v>-1.0034605898980009E-2</v>
      </c>
    </row>
    <row r="228" spans="1:17" x14ac:dyDescent="0.3">
      <c r="A228">
        <v>3125</v>
      </c>
      <c r="B228" t="s">
        <v>10</v>
      </c>
      <c r="C228" t="s">
        <v>16</v>
      </c>
      <c r="D228" t="s">
        <v>42</v>
      </c>
      <c r="E228" t="s">
        <v>25</v>
      </c>
      <c r="F228">
        <v>2</v>
      </c>
      <c r="G228">
        <v>5940.3850000000002</v>
      </c>
      <c r="H228">
        <v>0.7</v>
      </c>
      <c r="I228">
        <v>5940.085</v>
      </c>
      <c r="J228">
        <v>11880.17</v>
      </c>
      <c r="K228" s="1">
        <v>45726</v>
      </c>
      <c r="L228" t="s">
        <v>14</v>
      </c>
      <c r="M228" t="s">
        <v>64</v>
      </c>
      <c r="N228">
        <v>1561.59</v>
      </c>
      <c r="O228" t="s">
        <v>75</v>
      </c>
      <c r="P228">
        <v>2025</v>
      </c>
      <c r="Q228">
        <f>IF(Nike_Sales_Cleaned[[#This Row],[Revenue]] = 0, 0, Nike_Sales_Cleaned[[#This Row],[Profit]]/Nike_Sales_Cleaned[[#This Row],[Revenue]])</f>
        <v>0.13144508874873001</v>
      </c>
    </row>
    <row r="229" spans="1:17" x14ac:dyDescent="0.3">
      <c r="A229">
        <v>3127</v>
      </c>
      <c r="B229" t="s">
        <v>27</v>
      </c>
      <c r="C229" t="s">
        <v>11</v>
      </c>
      <c r="D229" t="s">
        <v>41</v>
      </c>
      <c r="E229" t="s">
        <v>25</v>
      </c>
      <c r="F229">
        <v>1</v>
      </c>
      <c r="G229">
        <v>7594.7199999999993</v>
      </c>
      <c r="H229">
        <v>0.47</v>
      </c>
      <c r="I229">
        <v>7594.19</v>
      </c>
      <c r="J229">
        <v>7594.19</v>
      </c>
      <c r="K229" s="1">
        <v>45572</v>
      </c>
      <c r="L229" t="s">
        <v>14</v>
      </c>
      <c r="M229" t="s">
        <v>62</v>
      </c>
      <c r="N229">
        <v>-440.44</v>
      </c>
      <c r="O229" t="s">
        <v>77</v>
      </c>
      <c r="P229">
        <v>2024</v>
      </c>
      <c r="Q229">
        <f>IF(Nike_Sales_Cleaned[[#This Row],[Revenue]] = 0, 0, Nike_Sales_Cleaned[[#This Row],[Profit]]/Nike_Sales_Cleaned[[#This Row],[Revenue]])</f>
        <v>-5.7996968735309497E-2</v>
      </c>
    </row>
    <row r="230" spans="1:17" x14ac:dyDescent="0.3">
      <c r="A230">
        <v>3143</v>
      </c>
      <c r="B230" t="s">
        <v>27</v>
      </c>
      <c r="C230" t="s">
        <v>11</v>
      </c>
      <c r="D230" t="s">
        <v>26</v>
      </c>
      <c r="E230" t="s">
        <v>44</v>
      </c>
      <c r="F230">
        <v>3</v>
      </c>
      <c r="G230">
        <v>5649.73</v>
      </c>
      <c r="H230">
        <v>0.98</v>
      </c>
      <c r="I230">
        <v>5649.7099999999991</v>
      </c>
      <c r="J230">
        <v>16949.129999999997</v>
      </c>
      <c r="K230" s="1">
        <v>45527</v>
      </c>
      <c r="L230" t="s">
        <v>14</v>
      </c>
      <c r="M230" t="s">
        <v>63</v>
      </c>
      <c r="N230">
        <v>635.39</v>
      </c>
      <c r="O230" t="s">
        <v>75</v>
      </c>
      <c r="P230">
        <v>2024</v>
      </c>
      <c r="Q230">
        <f>IF(Nike_Sales_Cleaned[[#This Row],[Revenue]] = 0, 0, Nike_Sales_Cleaned[[#This Row],[Profit]]/Nike_Sales_Cleaned[[#This Row],[Revenue]])</f>
        <v>3.748805985911962E-2</v>
      </c>
    </row>
    <row r="231" spans="1:17" x14ac:dyDescent="0.3">
      <c r="A231">
        <v>3146</v>
      </c>
      <c r="B231" t="s">
        <v>15</v>
      </c>
      <c r="C231" t="s">
        <v>16</v>
      </c>
      <c r="D231" t="s">
        <v>19</v>
      </c>
      <c r="E231" t="s">
        <v>25</v>
      </c>
      <c r="F231">
        <v>1</v>
      </c>
      <c r="G231">
        <v>5178.83</v>
      </c>
      <c r="H231">
        <v>0</v>
      </c>
      <c r="I231">
        <v>5177.83</v>
      </c>
      <c r="J231">
        <v>5177.83</v>
      </c>
      <c r="K231" s="1">
        <v>45655</v>
      </c>
      <c r="L231" t="s">
        <v>18</v>
      </c>
      <c r="M231" t="s">
        <v>61</v>
      </c>
      <c r="N231">
        <v>1087.27</v>
      </c>
      <c r="O231" t="s">
        <v>74</v>
      </c>
      <c r="P231">
        <v>2024</v>
      </c>
      <c r="Q231">
        <f>IF(Nike_Sales_Cleaned[[#This Row],[Revenue]] = 0, 0, Nike_Sales_Cleaned[[#This Row],[Profit]]/Nike_Sales_Cleaned[[#This Row],[Revenue]])</f>
        <v>0.2099856503593204</v>
      </c>
    </row>
    <row r="232" spans="1:17" x14ac:dyDescent="0.3">
      <c r="A232">
        <v>3154</v>
      </c>
      <c r="B232" t="s">
        <v>10</v>
      </c>
      <c r="C232" t="s">
        <v>23</v>
      </c>
      <c r="D232" t="s">
        <v>37</v>
      </c>
      <c r="E232" t="s">
        <v>22</v>
      </c>
      <c r="F232">
        <v>2</v>
      </c>
      <c r="G232">
        <v>5620.64</v>
      </c>
      <c r="H232">
        <v>0.95</v>
      </c>
      <c r="I232">
        <v>5620.59</v>
      </c>
      <c r="J232">
        <v>11241.18</v>
      </c>
      <c r="K232" s="1">
        <v>45768</v>
      </c>
      <c r="L232" t="s">
        <v>14</v>
      </c>
      <c r="M232" t="s">
        <v>65</v>
      </c>
      <c r="N232">
        <v>-1100.45</v>
      </c>
      <c r="O232" t="s">
        <v>75</v>
      </c>
      <c r="P232">
        <v>2025</v>
      </c>
      <c r="Q232">
        <f>IF(Nike_Sales_Cleaned[[#This Row],[Revenue]] = 0, 0, Nike_Sales_Cleaned[[#This Row],[Profit]]/Nike_Sales_Cleaned[[#This Row],[Revenue]])</f>
        <v>-9.7894527087014002E-2</v>
      </c>
    </row>
    <row r="233" spans="1:17" x14ac:dyDescent="0.3">
      <c r="A233">
        <v>3162</v>
      </c>
      <c r="B233" t="s">
        <v>27</v>
      </c>
      <c r="C233" t="s">
        <v>16</v>
      </c>
      <c r="D233" t="s">
        <v>17</v>
      </c>
      <c r="E233" t="s">
        <v>25</v>
      </c>
      <c r="F233">
        <v>2</v>
      </c>
      <c r="G233">
        <v>5234.1550000000007</v>
      </c>
      <c r="H233">
        <v>0</v>
      </c>
      <c r="I233">
        <v>5233.1550000000007</v>
      </c>
      <c r="J233">
        <v>10466.310000000001</v>
      </c>
      <c r="K233" s="1">
        <v>45346</v>
      </c>
      <c r="L233" t="s">
        <v>14</v>
      </c>
      <c r="M233" t="s">
        <v>62</v>
      </c>
      <c r="N233">
        <v>1686.78</v>
      </c>
      <c r="O233" t="s">
        <v>74</v>
      </c>
      <c r="P233">
        <v>2024</v>
      </c>
      <c r="Q233">
        <f>IF(Nike_Sales_Cleaned[[#This Row],[Revenue]] = 0, 0, Nike_Sales_Cleaned[[#This Row],[Profit]]/Nike_Sales_Cleaned[[#This Row],[Revenue]])</f>
        <v>0.161162816694709</v>
      </c>
    </row>
    <row r="234" spans="1:17" x14ac:dyDescent="0.3">
      <c r="A234">
        <v>3165</v>
      </c>
      <c r="B234" t="s">
        <v>15</v>
      </c>
      <c r="C234" t="s">
        <v>16</v>
      </c>
      <c r="D234" t="s">
        <v>42</v>
      </c>
      <c r="E234" t="s">
        <v>25</v>
      </c>
      <c r="F234">
        <v>2</v>
      </c>
      <c r="G234">
        <v>5940.3850000000002</v>
      </c>
      <c r="H234">
        <v>0.28999999999999998</v>
      </c>
      <c r="I234">
        <v>5939.6750000000002</v>
      </c>
      <c r="J234">
        <v>11879.35</v>
      </c>
      <c r="K234" s="1">
        <v>45705</v>
      </c>
      <c r="L234" t="s">
        <v>14</v>
      </c>
      <c r="M234" t="s">
        <v>66</v>
      </c>
      <c r="N234">
        <v>3264.03</v>
      </c>
      <c r="O234" t="s">
        <v>78</v>
      </c>
      <c r="P234">
        <v>2025</v>
      </c>
      <c r="Q234">
        <f>IF(Nike_Sales_Cleaned[[#This Row],[Revenue]] = 0, 0, Nike_Sales_Cleaned[[#This Row],[Profit]]/Nike_Sales_Cleaned[[#This Row],[Revenue]])</f>
        <v>0.27476503344038183</v>
      </c>
    </row>
    <row r="235" spans="1:17" x14ac:dyDescent="0.3">
      <c r="A235">
        <v>3168</v>
      </c>
      <c r="B235" t="s">
        <v>15</v>
      </c>
      <c r="C235" t="s">
        <v>20</v>
      </c>
      <c r="D235" t="s">
        <v>47</v>
      </c>
      <c r="E235" t="s">
        <v>44</v>
      </c>
      <c r="F235">
        <v>2</v>
      </c>
      <c r="G235">
        <v>6010.71</v>
      </c>
      <c r="H235">
        <v>0</v>
      </c>
      <c r="I235">
        <v>6009.71</v>
      </c>
      <c r="J235">
        <v>12019.42</v>
      </c>
      <c r="K235" s="1">
        <v>45716</v>
      </c>
      <c r="L235" t="s">
        <v>18</v>
      </c>
      <c r="M235" t="s">
        <v>65</v>
      </c>
      <c r="N235">
        <v>61.83</v>
      </c>
      <c r="O235" t="s">
        <v>74</v>
      </c>
      <c r="P235">
        <v>2025</v>
      </c>
      <c r="Q235">
        <f>IF(Nike_Sales_Cleaned[[#This Row],[Revenue]] = 0, 0, Nike_Sales_Cleaned[[#This Row],[Profit]]/Nike_Sales_Cleaned[[#This Row],[Revenue]])</f>
        <v>5.1441750101086405E-3</v>
      </c>
    </row>
    <row r="236" spans="1:17" x14ac:dyDescent="0.3">
      <c r="A236">
        <v>3189</v>
      </c>
      <c r="B236" t="s">
        <v>27</v>
      </c>
      <c r="C236" t="s">
        <v>31</v>
      </c>
      <c r="D236" t="s">
        <v>48</v>
      </c>
      <c r="E236" t="s">
        <v>22</v>
      </c>
      <c r="F236">
        <v>3</v>
      </c>
      <c r="G236">
        <v>5355.64</v>
      </c>
      <c r="H236">
        <v>0.33</v>
      </c>
      <c r="I236">
        <v>5354.97</v>
      </c>
      <c r="J236">
        <v>16064.91</v>
      </c>
      <c r="K236" s="1">
        <v>45696</v>
      </c>
      <c r="L236" t="s">
        <v>14</v>
      </c>
      <c r="M236" t="s">
        <v>66</v>
      </c>
      <c r="N236">
        <v>1456.87</v>
      </c>
      <c r="O236" t="s">
        <v>77</v>
      </c>
      <c r="P236">
        <v>2025</v>
      </c>
      <c r="Q236">
        <f>IF(Nike_Sales_Cleaned[[#This Row],[Revenue]] = 0, 0, Nike_Sales_Cleaned[[#This Row],[Profit]]/Nike_Sales_Cleaned[[#This Row],[Revenue]])</f>
        <v>9.0686471321656942E-2</v>
      </c>
    </row>
    <row r="237" spans="1:17" x14ac:dyDescent="0.3">
      <c r="A237">
        <v>3191</v>
      </c>
      <c r="B237" t="s">
        <v>10</v>
      </c>
      <c r="C237" t="s">
        <v>16</v>
      </c>
      <c r="D237" t="s">
        <v>29</v>
      </c>
      <c r="E237" t="s">
        <v>22</v>
      </c>
      <c r="F237">
        <v>4</v>
      </c>
      <c r="G237">
        <v>6880.21</v>
      </c>
      <c r="H237">
        <v>0</v>
      </c>
      <c r="I237">
        <v>6879.21</v>
      </c>
      <c r="J237">
        <v>27516.84</v>
      </c>
      <c r="K237" s="1">
        <v>45692</v>
      </c>
      <c r="L237" t="s">
        <v>18</v>
      </c>
      <c r="M237" t="s">
        <v>62</v>
      </c>
      <c r="N237">
        <v>2709.18</v>
      </c>
      <c r="O237" t="s">
        <v>74</v>
      </c>
      <c r="P237">
        <v>2025</v>
      </c>
      <c r="Q237">
        <f>IF(Nike_Sales_Cleaned[[#This Row],[Revenue]] = 0, 0, Nike_Sales_Cleaned[[#This Row],[Profit]]/Nike_Sales_Cleaned[[#This Row],[Revenue]])</f>
        <v>9.8455345890007706E-2</v>
      </c>
    </row>
    <row r="238" spans="1:17" x14ac:dyDescent="0.3">
      <c r="A238">
        <v>3192</v>
      </c>
      <c r="B238" t="s">
        <v>10</v>
      </c>
      <c r="C238" t="s">
        <v>23</v>
      </c>
      <c r="D238" t="s">
        <v>37</v>
      </c>
      <c r="E238" t="s">
        <v>13</v>
      </c>
      <c r="F238">
        <v>1</v>
      </c>
      <c r="G238">
        <v>5620.64</v>
      </c>
      <c r="H238">
        <v>0</v>
      </c>
      <c r="I238">
        <v>5619.64</v>
      </c>
      <c r="J238">
        <v>5619.64</v>
      </c>
      <c r="K238" s="1">
        <v>45732</v>
      </c>
      <c r="L238" t="s">
        <v>14</v>
      </c>
      <c r="M238" t="s">
        <v>62</v>
      </c>
      <c r="N238">
        <v>2055.67</v>
      </c>
      <c r="O238" t="s">
        <v>74</v>
      </c>
      <c r="P238">
        <v>2025</v>
      </c>
      <c r="Q238">
        <f>IF(Nike_Sales_Cleaned[[#This Row],[Revenue]] = 0, 0, Nike_Sales_Cleaned[[#This Row],[Profit]]/Nike_Sales_Cleaned[[#This Row],[Revenue]])</f>
        <v>0.3658010121644803</v>
      </c>
    </row>
    <row r="239" spans="1:17" x14ac:dyDescent="0.3">
      <c r="A239">
        <v>3212</v>
      </c>
      <c r="B239" t="s">
        <v>10</v>
      </c>
      <c r="C239" t="s">
        <v>16</v>
      </c>
      <c r="D239" t="s">
        <v>29</v>
      </c>
      <c r="E239" t="s">
        <v>13</v>
      </c>
      <c r="F239">
        <v>4</v>
      </c>
      <c r="G239">
        <v>6880.21</v>
      </c>
      <c r="H239">
        <v>0</v>
      </c>
      <c r="I239">
        <v>6879.21</v>
      </c>
      <c r="J239">
        <v>27516.84</v>
      </c>
      <c r="K239" s="1">
        <v>45570</v>
      </c>
      <c r="L239" t="s">
        <v>18</v>
      </c>
      <c r="M239" t="s">
        <v>66</v>
      </c>
      <c r="N239">
        <v>2025.11</v>
      </c>
      <c r="O239" t="s">
        <v>74</v>
      </c>
      <c r="P239">
        <v>2024</v>
      </c>
      <c r="Q239">
        <f>IF(Nike_Sales_Cleaned[[#This Row],[Revenue]] = 0, 0, Nike_Sales_Cleaned[[#This Row],[Profit]]/Nike_Sales_Cleaned[[#This Row],[Revenue]])</f>
        <v>7.3595296552947206E-2</v>
      </c>
    </row>
    <row r="240" spans="1:17" x14ac:dyDescent="0.3">
      <c r="A240">
        <v>3217</v>
      </c>
      <c r="B240" t="s">
        <v>27</v>
      </c>
      <c r="C240" t="s">
        <v>16</v>
      </c>
      <c r="D240" t="s">
        <v>17</v>
      </c>
      <c r="E240" t="s">
        <v>36</v>
      </c>
      <c r="F240">
        <v>1</v>
      </c>
      <c r="G240">
        <v>5234.1550000000007</v>
      </c>
      <c r="H240">
        <v>0.22</v>
      </c>
      <c r="I240">
        <v>5233.3750000000009</v>
      </c>
      <c r="J240">
        <v>5233.3750000000009</v>
      </c>
      <c r="K240" s="1">
        <v>45703</v>
      </c>
      <c r="L240" t="s">
        <v>18</v>
      </c>
      <c r="M240" t="s">
        <v>62</v>
      </c>
      <c r="N240">
        <v>-514.9</v>
      </c>
      <c r="O240" t="s">
        <v>78</v>
      </c>
      <c r="P240">
        <v>2025</v>
      </c>
      <c r="Q240">
        <f>IF(Nike_Sales_Cleaned[[#This Row],[Revenue]] = 0, 0, Nike_Sales_Cleaned[[#This Row],[Profit]]/Nike_Sales_Cleaned[[#This Row],[Revenue]])</f>
        <v>-9.8387751689875055E-2</v>
      </c>
    </row>
    <row r="241" spans="1:17" x14ac:dyDescent="0.3">
      <c r="A241">
        <v>3233</v>
      </c>
      <c r="B241" t="s">
        <v>27</v>
      </c>
      <c r="C241" t="s">
        <v>16</v>
      </c>
      <c r="D241" t="s">
        <v>42</v>
      </c>
      <c r="E241" t="s">
        <v>13</v>
      </c>
      <c r="F241">
        <v>1</v>
      </c>
      <c r="G241">
        <v>5940.3850000000002</v>
      </c>
      <c r="H241">
        <v>0</v>
      </c>
      <c r="I241">
        <v>5939.3850000000002</v>
      </c>
      <c r="J241">
        <v>5939.3850000000002</v>
      </c>
      <c r="K241" s="1">
        <v>45773</v>
      </c>
      <c r="L241" t="s">
        <v>18</v>
      </c>
      <c r="M241" t="s">
        <v>61</v>
      </c>
      <c r="N241">
        <v>571.79999999999995</v>
      </c>
      <c r="O241" t="s">
        <v>74</v>
      </c>
      <c r="P241">
        <v>2025</v>
      </c>
      <c r="Q241">
        <f>IF(Nike_Sales_Cleaned[[#This Row],[Revenue]] = 0, 0, Nike_Sales_Cleaned[[#This Row],[Profit]]/Nike_Sales_Cleaned[[#This Row],[Revenue]])</f>
        <v>9.6272593879669355E-2</v>
      </c>
    </row>
    <row r="242" spans="1:17" x14ac:dyDescent="0.3">
      <c r="A242">
        <v>3237</v>
      </c>
      <c r="B242" t="s">
        <v>10</v>
      </c>
      <c r="C242" t="s">
        <v>31</v>
      </c>
      <c r="D242" t="s">
        <v>48</v>
      </c>
      <c r="E242" t="s">
        <v>22</v>
      </c>
      <c r="F242">
        <v>3</v>
      </c>
      <c r="G242">
        <v>5355.64</v>
      </c>
      <c r="H242">
        <v>0</v>
      </c>
      <c r="I242">
        <v>5354.64</v>
      </c>
      <c r="J242">
        <v>16063.920000000002</v>
      </c>
      <c r="K242" s="1">
        <v>45520</v>
      </c>
      <c r="L242" t="s">
        <v>18</v>
      </c>
      <c r="M242" t="s">
        <v>63</v>
      </c>
      <c r="N242">
        <v>2926.28</v>
      </c>
      <c r="O242" t="s">
        <v>74</v>
      </c>
      <c r="P242">
        <v>2024</v>
      </c>
      <c r="Q242">
        <f>IF(Nike_Sales_Cleaned[[#This Row],[Revenue]] = 0, 0, Nike_Sales_Cleaned[[#This Row],[Profit]]/Nike_Sales_Cleaned[[#This Row],[Revenue]])</f>
        <v>0.18216475181649311</v>
      </c>
    </row>
    <row r="243" spans="1:17" x14ac:dyDescent="0.3">
      <c r="A243">
        <v>3243</v>
      </c>
      <c r="B243" t="s">
        <v>27</v>
      </c>
      <c r="C243" t="s">
        <v>20</v>
      </c>
      <c r="D243" t="s">
        <v>47</v>
      </c>
      <c r="E243" t="s">
        <v>22</v>
      </c>
      <c r="F243">
        <v>3</v>
      </c>
      <c r="G243">
        <v>6010.71</v>
      </c>
      <c r="H243">
        <v>0</v>
      </c>
      <c r="I243">
        <v>6009.71</v>
      </c>
      <c r="J243">
        <v>18029.13</v>
      </c>
      <c r="K243" s="1">
        <v>45590</v>
      </c>
      <c r="L243" t="s">
        <v>18</v>
      </c>
      <c r="M243" t="s">
        <v>62</v>
      </c>
      <c r="N243">
        <v>1943.22</v>
      </c>
      <c r="O243" t="s">
        <v>74</v>
      </c>
      <c r="P243">
        <v>2024</v>
      </c>
      <c r="Q243">
        <f>IF(Nike_Sales_Cleaned[[#This Row],[Revenue]] = 0, 0, Nike_Sales_Cleaned[[#This Row],[Profit]]/Nike_Sales_Cleaned[[#This Row],[Revenue]])</f>
        <v>0.10778223907642798</v>
      </c>
    </row>
    <row r="244" spans="1:17" x14ac:dyDescent="0.3">
      <c r="A244">
        <v>3245</v>
      </c>
      <c r="B244" t="s">
        <v>15</v>
      </c>
      <c r="C244" t="s">
        <v>23</v>
      </c>
      <c r="D244" t="s">
        <v>24</v>
      </c>
      <c r="E244" t="s">
        <v>22</v>
      </c>
      <c r="F244">
        <v>3</v>
      </c>
      <c r="G244">
        <v>7557.71</v>
      </c>
      <c r="H244">
        <v>0</v>
      </c>
      <c r="I244">
        <v>7556.71</v>
      </c>
      <c r="J244">
        <v>22670.13</v>
      </c>
      <c r="K244" s="1">
        <v>45431</v>
      </c>
      <c r="L244" t="s">
        <v>18</v>
      </c>
      <c r="M244" t="s">
        <v>62</v>
      </c>
      <c r="N244">
        <v>3102.91</v>
      </c>
      <c r="O244" t="s">
        <v>74</v>
      </c>
      <c r="P244">
        <v>2024</v>
      </c>
      <c r="Q244">
        <f>IF(Nike_Sales_Cleaned[[#This Row],[Revenue]] = 0, 0, Nike_Sales_Cleaned[[#This Row],[Profit]]/Nike_Sales_Cleaned[[#This Row],[Revenue]])</f>
        <v>0.13687217497208881</v>
      </c>
    </row>
    <row r="245" spans="1:17" x14ac:dyDescent="0.3">
      <c r="A245">
        <v>3249</v>
      </c>
      <c r="B245" t="s">
        <v>10</v>
      </c>
      <c r="C245" t="s">
        <v>20</v>
      </c>
      <c r="D245" t="s">
        <v>21</v>
      </c>
      <c r="E245" t="s">
        <v>13</v>
      </c>
      <c r="F245">
        <v>1</v>
      </c>
      <c r="G245">
        <v>4904.79</v>
      </c>
      <c r="H245">
        <v>0</v>
      </c>
      <c r="I245">
        <v>4903.79</v>
      </c>
      <c r="J245">
        <v>4903.79</v>
      </c>
      <c r="K245" s="1">
        <v>45713</v>
      </c>
      <c r="L245" t="s">
        <v>14</v>
      </c>
      <c r="M245" t="s">
        <v>64</v>
      </c>
      <c r="N245">
        <v>731.1</v>
      </c>
      <c r="O245" t="s">
        <v>74</v>
      </c>
      <c r="P245">
        <v>2025</v>
      </c>
      <c r="Q245">
        <f>IF(Nike_Sales_Cleaned[[#This Row],[Revenue]] = 0, 0, Nike_Sales_Cleaned[[#This Row],[Profit]]/Nike_Sales_Cleaned[[#This Row],[Revenue]])</f>
        <v>0.14908876603606599</v>
      </c>
    </row>
    <row r="246" spans="1:17" x14ac:dyDescent="0.3">
      <c r="A246">
        <v>3252</v>
      </c>
      <c r="B246" t="s">
        <v>27</v>
      </c>
      <c r="C246" t="s">
        <v>31</v>
      </c>
      <c r="D246" t="s">
        <v>39</v>
      </c>
      <c r="E246" t="s">
        <v>46</v>
      </c>
      <c r="F246">
        <v>1</v>
      </c>
      <c r="G246">
        <v>7845.46</v>
      </c>
      <c r="H246">
        <v>0</v>
      </c>
      <c r="I246">
        <v>7844.46</v>
      </c>
      <c r="J246">
        <v>7844.46</v>
      </c>
      <c r="K246" s="1">
        <v>45377</v>
      </c>
      <c r="L246" t="s">
        <v>14</v>
      </c>
      <c r="M246" t="s">
        <v>63</v>
      </c>
      <c r="N246">
        <v>-563.83000000000004</v>
      </c>
      <c r="O246" t="s">
        <v>74</v>
      </c>
      <c r="P246">
        <v>2024</v>
      </c>
      <c r="Q246">
        <f>IF(Nike_Sales_Cleaned[[#This Row],[Revenue]] = 0, 0, Nike_Sales_Cleaned[[#This Row],[Profit]]/Nike_Sales_Cleaned[[#This Row],[Revenue]])</f>
        <v>-7.1876203078350839E-2</v>
      </c>
    </row>
    <row r="247" spans="1:17" x14ac:dyDescent="0.3">
      <c r="A247">
        <v>3260</v>
      </c>
      <c r="B247" t="s">
        <v>27</v>
      </c>
      <c r="C247" t="s">
        <v>16</v>
      </c>
      <c r="D247" t="s">
        <v>29</v>
      </c>
      <c r="E247" t="s">
        <v>44</v>
      </c>
      <c r="F247">
        <v>1</v>
      </c>
      <c r="G247">
        <v>6880.21</v>
      </c>
      <c r="H247">
        <v>0</v>
      </c>
      <c r="I247">
        <v>6879.21</v>
      </c>
      <c r="J247">
        <v>6879.21</v>
      </c>
      <c r="K247" s="1">
        <v>45836</v>
      </c>
      <c r="L247" t="s">
        <v>14</v>
      </c>
      <c r="M247" t="s">
        <v>63</v>
      </c>
      <c r="N247">
        <v>1287.17</v>
      </c>
      <c r="O247" t="s">
        <v>74</v>
      </c>
      <c r="P247">
        <v>2025</v>
      </c>
      <c r="Q247">
        <f>IF(Nike_Sales_Cleaned[[#This Row],[Revenue]] = 0, 0, Nike_Sales_Cleaned[[#This Row],[Profit]]/Nike_Sales_Cleaned[[#This Row],[Revenue]])</f>
        <v>0.18711014782220634</v>
      </c>
    </row>
    <row r="248" spans="1:17" x14ac:dyDescent="0.3">
      <c r="A248">
        <v>3263</v>
      </c>
      <c r="B248" t="s">
        <v>15</v>
      </c>
      <c r="C248" t="s">
        <v>23</v>
      </c>
      <c r="D248" t="s">
        <v>24</v>
      </c>
      <c r="E248" t="s">
        <v>22</v>
      </c>
      <c r="F248">
        <v>4</v>
      </c>
      <c r="G248">
        <v>7557.71</v>
      </c>
      <c r="H248">
        <v>0</v>
      </c>
      <c r="I248">
        <v>7556.71</v>
      </c>
      <c r="J248">
        <v>30226.84</v>
      </c>
      <c r="K248" s="1">
        <v>45711</v>
      </c>
      <c r="L248" t="s">
        <v>14</v>
      </c>
      <c r="M248" t="s">
        <v>63</v>
      </c>
      <c r="N248">
        <v>2278.12</v>
      </c>
      <c r="O248" t="s">
        <v>74</v>
      </c>
      <c r="P248">
        <v>2025</v>
      </c>
      <c r="Q248">
        <f>IF(Nike_Sales_Cleaned[[#This Row],[Revenue]] = 0, 0, Nike_Sales_Cleaned[[#This Row],[Profit]]/Nike_Sales_Cleaned[[#This Row],[Revenue]])</f>
        <v>7.5367454884466917E-2</v>
      </c>
    </row>
    <row r="249" spans="1:17" x14ac:dyDescent="0.3">
      <c r="A249">
        <v>3265</v>
      </c>
      <c r="B249" t="s">
        <v>15</v>
      </c>
      <c r="C249" t="s">
        <v>16</v>
      </c>
      <c r="D249" t="s">
        <v>29</v>
      </c>
      <c r="E249" t="s">
        <v>13</v>
      </c>
      <c r="F249">
        <v>4</v>
      </c>
      <c r="G249">
        <v>6880.21</v>
      </c>
      <c r="H249">
        <v>0</v>
      </c>
      <c r="I249">
        <v>6879.21</v>
      </c>
      <c r="J249">
        <v>27516.84</v>
      </c>
      <c r="K249" s="1">
        <v>45557</v>
      </c>
      <c r="L249" t="s">
        <v>18</v>
      </c>
      <c r="M249" t="s">
        <v>64</v>
      </c>
      <c r="N249">
        <v>2860.71</v>
      </c>
      <c r="O249" t="s">
        <v>74</v>
      </c>
      <c r="P249">
        <v>2024</v>
      </c>
      <c r="Q249">
        <f>IF(Nike_Sales_Cleaned[[#This Row],[Revenue]] = 0, 0, Nike_Sales_Cleaned[[#This Row],[Profit]]/Nike_Sales_Cleaned[[#This Row],[Revenue]])</f>
        <v>0.1039621555382086</v>
      </c>
    </row>
    <row r="250" spans="1:17" x14ac:dyDescent="0.3">
      <c r="A250">
        <v>3274</v>
      </c>
      <c r="B250" t="s">
        <v>27</v>
      </c>
      <c r="C250" t="s">
        <v>11</v>
      </c>
      <c r="D250" t="s">
        <v>12</v>
      </c>
      <c r="E250" t="s">
        <v>22</v>
      </c>
      <c r="F250">
        <v>3</v>
      </c>
      <c r="G250">
        <v>5873.83</v>
      </c>
      <c r="H250">
        <v>0.15</v>
      </c>
      <c r="I250">
        <v>5872.98</v>
      </c>
      <c r="J250">
        <v>17618.939999999999</v>
      </c>
      <c r="K250" s="1">
        <v>45780</v>
      </c>
      <c r="L250" t="s">
        <v>18</v>
      </c>
      <c r="M250" t="s">
        <v>61</v>
      </c>
      <c r="N250">
        <v>169.05</v>
      </c>
      <c r="O250" t="s">
        <v>76</v>
      </c>
      <c r="P250">
        <v>2025</v>
      </c>
      <c r="Q250">
        <f>IF(Nike_Sales_Cleaned[[#This Row],[Revenue]] = 0, 0, Nike_Sales_Cleaned[[#This Row],[Profit]]/Nike_Sales_Cleaned[[#This Row],[Revenue]])</f>
        <v>9.5947883357341609E-3</v>
      </c>
    </row>
    <row r="251" spans="1:17" x14ac:dyDescent="0.3">
      <c r="A251">
        <v>3275</v>
      </c>
      <c r="B251" t="s">
        <v>15</v>
      </c>
      <c r="C251" t="s">
        <v>16</v>
      </c>
      <c r="D251" t="s">
        <v>19</v>
      </c>
      <c r="E251" t="s">
        <v>22</v>
      </c>
      <c r="F251">
        <v>4</v>
      </c>
      <c r="G251">
        <v>5178.83</v>
      </c>
      <c r="H251">
        <v>0</v>
      </c>
      <c r="I251">
        <v>5177.83</v>
      </c>
      <c r="J251">
        <v>20711.32</v>
      </c>
      <c r="K251" s="1">
        <v>45804</v>
      </c>
      <c r="L251" t="s">
        <v>18</v>
      </c>
      <c r="M251" t="s">
        <v>61</v>
      </c>
      <c r="N251">
        <v>1652.12</v>
      </c>
      <c r="O251" t="s">
        <v>74</v>
      </c>
      <c r="P251">
        <v>2025</v>
      </c>
      <c r="Q251">
        <f>IF(Nike_Sales_Cleaned[[#This Row],[Revenue]] = 0, 0, Nike_Sales_Cleaned[[#This Row],[Profit]]/Nike_Sales_Cleaned[[#This Row],[Revenue]])</f>
        <v>7.9768937952771721E-2</v>
      </c>
    </row>
    <row r="252" spans="1:17" x14ac:dyDescent="0.3">
      <c r="A252">
        <v>3279</v>
      </c>
      <c r="B252" t="s">
        <v>10</v>
      </c>
      <c r="C252" t="s">
        <v>16</v>
      </c>
      <c r="D252" t="s">
        <v>29</v>
      </c>
      <c r="E252" t="s">
        <v>25</v>
      </c>
      <c r="F252">
        <v>4</v>
      </c>
      <c r="G252">
        <v>6880.21</v>
      </c>
      <c r="H252">
        <v>0.1</v>
      </c>
      <c r="I252">
        <v>6879.31</v>
      </c>
      <c r="J252">
        <v>27517.24</v>
      </c>
      <c r="K252" s="1">
        <v>45605</v>
      </c>
      <c r="L252" t="s">
        <v>18</v>
      </c>
      <c r="M252" t="s">
        <v>65</v>
      </c>
      <c r="N252">
        <v>3098.28</v>
      </c>
      <c r="O252" t="s">
        <v>74</v>
      </c>
      <c r="P252">
        <v>2024</v>
      </c>
      <c r="Q252">
        <f>IF(Nike_Sales_Cleaned[[#This Row],[Revenue]] = 0, 0, Nike_Sales_Cleaned[[#This Row],[Profit]]/Nike_Sales_Cleaned[[#This Row],[Revenue]])</f>
        <v>0.11259414098216246</v>
      </c>
    </row>
    <row r="253" spans="1:17" x14ac:dyDescent="0.3">
      <c r="A253">
        <v>3282</v>
      </c>
      <c r="B253" t="s">
        <v>10</v>
      </c>
      <c r="C253" t="s">
        <v>31</v>
      </c>
      <c r="D253" t="s">
        <v>32</v>
      </c>
      <c r="E253" t="s">
        <v>25</v>
      </c>
      <c r="F253">
        <v>4</v>
      </c>
      <c r="G253">
        <v>5981.92</v>
      </c>
      <c r="H253">
        <v>0.23</v>
      </c>
      <c r="I253">
        <v>5981.15</v>
      </c>
      <c r="J253">
        <v>23924.6</v>
      </c>
      <c r="K253" s="1">
        <v>45431</v>
      </c>
      <c r="L253" t="s">
        <v>18</v>
      </c>
      <c r="M253" t="s">
        <v>65</v>
      </c>
      <c r="N253">
        <v>-190.17</v>
      </c>
      <c r="O253" t="s">
        <v>78</v>
      </c>
      <c r="P253">
        <v>2024</v>
      </c>
      <c r="Q253">
        <f>IF(Nike_Sales_Cleaned[[#This Row],[Revenue]] = 0, 0, Nike_Sales_Cleaned[[#This Row],[Profit]]/Nike_Sales_Cleaned[[#This Row],[Revenue]])</f>
        <v>-7.9487222356904603E-3</v>
      </c>
    </row>
    <row r="254" spans="1:17" x14ac:dyDescent="0.3">
      <c r="A254">
        <v>3283</v>
      </c>
      <c r="B254" t="s">
        <v>27</v>
      </c>
      <c r="C254" t="s">
        <v>16</v>
      </c>
      <c r="D254" t="s">
        <v>19</v>
      </c>
      <c r="E254" t="s">
        <v>25</v>
      </c>
      <c r="F254">
        <v>2</v>
      </c>
      <c r="G254">
        <v>5178.83</v>
      </c>
      <c r="H254">
        <v>0</v>
      </c>
      <c r="I254">
        <v>5177.83</v>
      </c>
      <c r="J254">
        <v>10355.66</v>
      </c>
      <c r="K254" s="1">
        <v>45583</v>
      </c>
      <c r="L254" t="s">
        <v>14</v>
      </c>
      <c r="M254" t="s">
        <v>63</v>
      </c>
      <c r="N254">
        <v>3871.51</v>
      </c>
      <c r="O254" t="s">
        <v>74</v>
      </c>
      <c r="P254">
        <v>2024</v>
      </c>
      <c r="Q254">
        <f>IF(Nike_Sales_Cleaned[[#This Row],[Revenue]] = 0, 0, Nike_Sales_Cleaned[[#This Row],[Profit]]/Nike_Sales_Cleaned[[#This Row],[Revenue]])</f>
        <v>0.37385449116714919</v>
      </c>
    </row>
    <row r="255" spans="1:17" x14ac:dyDescent="0.3">
      <c r="A255">
        <v>3285</v>
      </c>
      <c r="B255" t="s">
        <v>27</v>
      </c>
      <c r="C255" t="s">
        <v>11</v>
      </c>
      <c r="D255" t="s">
        <v>34</v>
      </c>
      <c r="E255" t="s">
        <v>25</v>
      </c>
      <c r="F255">
        <v>4</v>
      </c>
      <c r="G255">
        <v>6186.9950000000008</v>
      </c>
      <c r="H255">
        <v>0</v>
      </c>
      <c r="I255">
        <v>6185.9950000000008</v>
      </c>
      <c r="J255">
        <v>24743.980000000003</v>
      </c>
      <c r="K255" s="1">
        <v>45570</v>
      </c>
      <c r="L255" t="s">
        <v>14</v>
      </c>
      <c r="M255" t="s">
        <v>61</v>
      </c>
      <c r="N255">
        <v>-401.38</v>
      </c>
      <c r="O255" t="s">
        <v>74</v>
      </c>
      <c r="P255">
        <v>2024</v>
      </c>
      <c r="Q255">
        <f>IF(Nike_Sales_Cleaned[[#This Row],[Revenue]] = 0, 0, Nike_Sales_Cleaned[[#This Row],[Profit]]/Nike_Sales_Cleaned[[#This Row],[Revenue]])</f>
        <v>-1.6221319286549695E-2</v>
      </c>
    </row>
    <row r="256" spans="1:17" x14ac:dyDescent="0.3">
      <c r="A256">
        <v>3288</v>
      </c>
      <c r="B256" t="s">
        <v>10</v>
      </c>
      <c r="C256" t="s">
        <v>20</v>
      </c>
      <c r="D256" t="s">
        <v>45</v>
      </c>
      <c r="E256" t="s">
        <v>46</v>
      </c>
      <c r="F256">
        <v>4</v>
      </c>
      <c r="G256">
        <v>6202.99</v>
      </c>
      <c r="H256">
        <v>0</v>
      </c>
      <c r="I256">
        <v>6201.99</v>
      </c>
      <c r="J256">
        <v>24807.96</v>
      </c>
      <c r="K256" s="1">
        <v>45498</v>
      </c>
      <c r="L256" t="s">
        <v>18</v>
      </c>
      <c r="M256" t="s">
        <v>65</v>
      </c>
      <c r="N256">
        <v>3852.98</v>
      </c>
      <c r="O256" t="s">
        <v>74</v>
      </c>
      <c r="P256">
        <v>2024</v>
      </c>
      <c r="Q256">
        <f>IF(Nike_Sales_Cleaned[[#This Row],[Revenue]] = 0, 0, Nike_Sales_Cleaned[[#This Row],[Profit]]/Nike_Sales_Cleaned[[#This Row],[Revenue]])</f>
        <v>0.15531224655312248</v>
      </c>
    </row>
    <row r="257" spans="1:17" x14ac:dyDescent="0.3">
      <c r="A257">
        <v>3300</v>
      </c>
      <c r="B257" t="s">
        <v>15</v>
      </c>
      <c r="C257" t="s">
        <v>31</v>
      </c>
      <c r="D257" t="s">
        <v>32</v>
      </c>
      <c r="E257" t="s">
        <v>22</v>
      </c>
      <c r="F257">
        <v>2</v>
      </c>
      <c r="G257">
        <v>5981.92</v>
      </c>
      <c r="H257">
        <v>0</v>
      </c>
      <c r="I257">
        <v>5980.92</v>
      </c>
      <c r="J257">
        <v>11961.84</v>
      </c>
      <c r="K257" s="1">
        <v>45644</v>
      </c>
      <c r="L257" t="s">
        <v>18</v>
      </c>
      <c r="M257" t="s">
        <v>64</v>
      </c>
      <c r="N257">
        <v>3436.23</v>
      </c>
      <c r="O257" t="s">
        <v>74</v>
      </c>
      <c r="P257">
        <v>2024</v>
      </c>
      <c r="Q257">
        <f>IF(Nike_Sales_Cleaned[[#This Row],[Revenue]] = 0, 0, Nike_Sales_Cleaned[[#This Row],[Profit]]/Nike_Sales_Cleaned[[#This Row],[Revenue]])</f>
        <v>0.28726600589875806</v>
      </c>
    </row>
    <row r="258" spans="1:17" x14ac:dyDescent="0.3">
      <c r="A258">
        <v>3303</v>
      </c>
      <c r="B258" t="s">
        <v>10</v>
      </c>
      <c r="C258" t="s">
        <v>16</v>
      </c>
      <c r="D258" t="s">
        <v>17</v>
      </c>
      <c r="E258" t="s">
        <v>33</v>
      </c>
      <c r="F258">
        <v>2</v>
      </c>
      <c r="G258">
        <v>5234.1550000000007</v>
      </c>
      <c r="H258">
        <v>0</v>
      </c>
      <c r="I258">
        <v>5233.1550000000007</v>
      </c>
      <c r="J258">
        <v>10466.310000000001</v>
      </c>
      <c r="K258" s="1">
        <v>45584</v>
      </c>
      <c r="L258" t="s">
        <v>14</v>
      </c>
      <c r="M258" t="s">
        <v>66</v>
      </c>
      <c r="N258">
        <v>2846.02</v>
      </c>
      <c r="O258" t="s">
        <v>74</v>
      </c>
      <c r="P258">
        <v>2024</v>
      </c>
      <c r="Q258">
        <f>IF(Nike_Sales_Cleaned[[#This Row],[Revenue]] = 0, 0, Nike_Sales_Cleaned[[#This Row],[Profit]]/Nike_Sales_Cleaned[[#This Row],[Revenue]])</f>
        <v>0.27192200498552016</v>
      </c>
    </row>
    <row r="259" spans="1:17" x14ac:dyDescent="0.3">
      <c r="A259">
        <v>3310</v>
      </c>
      <c r="B259" t="s">
        <v>15</v>
      </c>
      <c r="C259" t="s">
        <v>23</v>
      </c>
      <c r="D259" t="s">
        <v>37</v>
      </c>
      <c r="E259" t="s">
        <v>13</v>
      </c>
      <c r="F259">
        <v>4</v>
      </c>
      <c r="G259">
        <v>5620.64</v>
      </c>
      <c r="H259">
        <v>0.21</v>
      </c>
      <c r="I259">
        <v>5619.85</v>
      </c>
      <c r="J259">
        <v>22479.4</v>
      </c>
      <c r="K259" s="1">
        <v>45765</v>
      </c>
      <c r="L259" t="s">
        <v>18</v>
      </c>
      <c r="M259" t="s">
        <v>66</v>
      </c>
      <c r="N259">
        <v>2856.16</v>
      </c>
      <c r="O259" t="s">
        <v>78</v>
      </c>
      <c r="P259">
        <v>2025</v>
      </c>
      <c r="Q259">
        <f>IF(Nike_Sales_Cleaned[[#This Row],[Revenue]] = 0, 0, Nike_Sales_Cleaned[[#This Row],[Profit]]/Nike_Sales_Cleaned[[#This Row],[Revenue]])</f>
        <v>0.12705677197789975</v>
      </c>
    </row>
    <row r="260" spans="1:17" x14ac:dyDescent="0.3">
      <c r="A260">
        <v>3312</v>
      </c>
      <c r="B260" t="s">
        <v>15</v>
      </c>
      <c r="C260" t="s">
        <v>31</v>
      </c>
      <c r="D260" t="s">
        <v>39</v>
      </c>
      <c r="E260" t="s">
        <v>13</v>
      </c>
      <c r="F260">
        <v>1</v>
      </c>
      <c r="G260">
        <v>7845.46</v>
      </c>
      <c r="H260">
        <v>0</v>
      </c>
      <c r="I260">
        <v>7844.46</v>
      </c>
      <c r="J260">
        <v>7844.46</v>
      </c>
      <c r="K260" s="1">
        <v>45802</v>
      </c>
      <c r="L260" t="s">
        <v>18</v>
      </c>
      <c r="M260" t="s">
        <v>62</v>
      </c>
      <c r="N260">
        <v>-95.96</v>
      </c>
      <c r="O260" t="s">
        <v>74</v>
      </c>
      <c r="P260">
        <v>2025</v>
      </c>
      <c r="Q260">
        <f>IF(Nike_Sales_Cleaned[[#This Row],[Revenue]] = 0, 0, Nike_Sales_Cleaned[[#This Row],[Profit]]/Nike_Sales_Cleaned[[#This Row],[Revenue]])</f>
        <v>-1.2232836932051409E-2</v>
      </c>
    </row>
    <row r="261" spans="1:17" x14ac:dyDescent="0.3">
      <c r="A261">
        <v>3327</v>
      </c>
      <c r="B261" t="s">
        <v>27</v>
      </c>
      <c r="C261" t="s">
        <v>11</v>
      </c>
      <c r="D261" t="s">
        <v>26</v>
      </c>
      <c r="E261" t="s">
        <v>40</v>
      </c>
      <c r="F261">
        <v>3</v>
      </c>
      <c r="G261">
        <v>5649.73</v>
      </c>
      <c r="H261">
        <v>0</v>
      </c>
      <c r="I261">
        <v>5648.73</v>
      </c>
      <c r="J261">
        <v>16946.189999999999</v>
      </c>
      <c r="K261" s="1">
        <v>45726</v>
      </c>
      <c r="L261" t="s">
        <v>14</v>
      </c>
      <c r="M261" t="s">
        <v>64</v>
      </c>
      <c r="N261">
        <v>-1155.6099999999999</v>
      </c>
      <c r="O261" t="s">
        <v>74</v>
      </c>
      <c r="P261">
        <v>2025</v>
      </c>
      <c r="Q261">
        <f>IF(Nike_Sales_Cleaned[[#This Row],[Revenue]] = 0, 0, Nike_Sales_Cleaned[[#This Row],[Profit]]/Nike_Sales_Cleaned[[#This Row],[Revenue]])</f>
        <v>-6.8192909438640772E-2</v>
      </c>
    </row>
    <row r="262" spans="1:17" x14ac:dyDescent="0.3">
      <c r="A262">
        <v>3334</v>
      </c>
      <c r="B262" t="s">
        <v>10</v>
      </c>
      <c r="C262" t="s">
        <v>16</v>
      </c>
      <c r="D262" t="s">
        <v>17</v>
      </c>
      <c r="E262" t="s">
        <v>22</v>
      </c>
      <c r="F262">
        <v>3</v>
      </c>
      <c r="G262">
        <v>5234.1550000000007</v>
      </c>
      <c r="H262">
        <v>0</v>
      </c>
      <c r="I262">
        <v>5233.1550000000007</v>
      </c>
      <c r="J262">
        <v>15699.465000000002</v>
      </c>
      <c r="K262" s="1">
        <v>45244</v>
      </c>
      <c r="L262" t="s">
        <v>14</v>
      </c>
      <c r="M262" t="s">
        <v>63</v>
      </c>
      <c r="N262">
        <v>1190.8900000000001</v>
      </c>
      <c r="O262" t="s">
        <v>74</v>
      </c>
      <c r="P262">
        <v>2023</v>
      </c>
      <c r="Q262">
        <f>IF(Nike_Sales_Cleaned[[#This Row],[Revenue]] = 0, 0, Nike_Sales_Cleaned[[#This Row],[Profit]]/Nike_Sales_Cleaned[[#This Row],[Revenue]])</f>
        <v>7.5855451125245346E-2</v>
      </c>
    </row>
    <row r="263" spans="1:17" x14ac:dyDescent="0.3">
      <c r="A263">
        <v>3337</v>
      </c>
      <c r="B263" t="s">
        <v>27</v>
      </c>
      <c r="C263" t="s">
        <v>11</v>
      </c>
      <c r="D263" t="s">
        <v>41</v>
      </c>
      <c r="E263" t="s">
        <v>22</v>
      </c>
      <c r="F263">
        <v>4</v>
      </c>
      <c r="G263">
        <v>7594.7199999999993</v>
      </c>
      <c r="H263">
        <v>0</v>
      </c>
      <c r="I263">
        <v>7593.7199999999993</v>
      </c>
      <c r="J263">
        <v>30374.879999999997</v>
      </c>
      <c r="K263" s="1">
        <v>45575</v>
      </c>
      <c r="L263" t="s">
        <v>14</v>
      </c>
      <c r="M263" t="s">
        <v>65</v>
      </c>
      <c r="N263">
        <v>2915.13</v>
      </c>
      <c r="O263" t="s">
        <v>74</v>
      </c>
      <c r="P263">
        <v>2024</v>
      </c>
      <c r="Q263">
        <f>IF(Nike_Sales_Cleaned[[#This Row],[Revenue]] = 0, 0, Nike_Sales_Cleaned[[#This Row],[Profit]]/Nike_Sales_Cleaned[[#This Row],[Revenue]])</f>
        <v>9.5971737172295013E-2</v>
      </c>
    </row>
    <row r="264" spans="1:17" x14ac:dyDescent="0.3">
      <c r="A264">
        <v>3340</v>
      </c>
      <c r="B264" t="s">
        <v>10</v>
      </c>
      <c r="C264" t="s">
        <v>16</v>
      </c>
      <c r="D264" t="s">
        <v>19</v>
      </c>
      <c r="E264" t="s">
        <v>13</v>
      </c>
      <c r="F264">
        <v>3</v>
      </c>
      <c r="G264">
        <v>5178.83</v>
      </c>
      <c r="H264">
        <v>0</v>
      </c>
      <c r="I264">
        <v>5177.83</v>
      </c>
      <c r="J264">
        <v>15533.49</v>
      </c>
      <c r="K264" s="1">
        <v>45655</v>
      </c>
      <c r="L264" t="s">
        <v>18</v>
      </c>
      <c r="M264" t="s">
        <v>63</v>
      </c>
      <c r="N264">
        <v>2551.4699999999998</v>
      </c>
      <c r="O264" t="s">
        <v>74</v>
      </c>
      <c r="P264">
        <v>2024</v>
      </c>
      <c r="Q264">
        <f>IF(Nike_Sales_Cleaned[[#This Row],[Revenue]] = 0, 0, Nike_Sales_Cleaned[[#This Row],[Profit]]/Nike_Sales_Cleaned[[#This Row],[Revenue]])</f>
        <v>0.16425606866196843</v>
      </c>
    </row>
    <row r="265" spans="1:17" x14ac:dyDescent="0.3">
      <c r="A265">
        <v>3341</v>
      </c>
      <c r="B265" t="s">
        <v>10</v>
      </c>
      <c r="C265" t="s">
        <v>11</v>
      </c>
      <c r="D265" t="s">
        <v>34</v>
      </c>
      <c r="E265" t="s">
        <v>49</v>
      </c>
      <c r="F265">
        <v>3</v>
      </c>
      <c r="G265">
        <v>6186.9950000000008</v>
      </c>
      <c r="H265">
        <v>0</v>
      </c>
      <c r="I265">
        <v>6185.9950000000008</v>
      </c>
      <c r="J265">
        <v>18557.985000000001</v>
      </c>
      <c r="K265" s="1">
        <v>45374</v>
      </c>
      <c r="L265" t="s">
        <v>14</v>
      </c>
      <c r="M265" t="s">
        <v>64</v>
      </c>
      <c r="N265">
        <v>1693.41</v>
      </c>
      <c r="O265" t="s">
        <v>74</v>
      </c>
      <c r="P265">
        <v>2024</v>
      </c>
      <c r="Q265">
        <f>IF(Nike_Sales_Cleaned[[#This Row],[Revenue]] = 0, 0, Nike_Sales_Cleaned[[#This Row],[Profit]]/Nike_Sales_Cleaned[[#This Row],[Revenue]])</f>
        <v>9.1249669616609783E-2</v>
      </c>
    </row>
    <row r="266" spans="1:17" x14ac:dyDescent="0.3">
      <c r="A266">
        <v>3343</v>
      </c>
      <c r="B266" t="s">
        <v>10</v>
      </c>
      <c r="C266" t="s">
        <v>31</v>
      </c>
      <c r="D266" t="s">
        <v>32</v>
      </c>
      <c r="E266" t="s">
        <v>22</v>
      </c>
      <c r="F266">
        <v>3</v>
      </c>
      <c r="G266">
        <v>5981.92</v>
      </c>
      <c r="H266">
        <v>0</v>
      </c>
      <c r="I266">
        <v>5980.92</v>
      </c>
      <c r="J266">
        <v>17942.760000000002</v>
      </c>
      <c r="K266" s="1">
        <v>45608</v>
      </c>
      <c r="L266" t="s">
        <v>18</v>
      </c>
      <c r="M266" t="s">
        <v>61</v>
      </c>
      <c r="N266">
        <v>1688.78</v>
      </c>
      <c r="O266" t="s">
        <v>74</v>
      </c>
      <c r="P266">
        <v>2024</v>
      </c>
      <c r="Q266">
        <f>IF(Nike_Sales_Cleaned[[#This Row],[Revenue]] = 0, 0, Nike_Sales_Cleaned[[#This Row],[Profit]]/Nike_Sales_Cleaned[[#This Row],[Revenue]])</f>
        <v>9.4120414027719243E-2</v>
      </c>
    </row>
    <row r="267" spans="1:17" x14ac:dyDescent="0.3">
      <c r="A267">
        <v>3356</v>
      </c>
      <c r="B267" t="s">
        <v>15</v>
      </c>
      <c r="C267" t="s">
        <v>16</v>
      </c>
      <c r="D267" t="s">
        <v>17</v>
      </c>
      <c r="E267" t="s">
        <v>13</v>
      </c>
      <c r="F267">
        <v>4</v>
      </c>
      <c r="G267">
        <v>5234.1550000000007</v>
      </c>
      <c r="H267">
        <v>0</v>
      </c>
      <c r="I267">
        <v>5233.1550000000007</v>
      </c>
      <c r="J267">
        <v>20932.620000000003</v>
      </c>
      <c r="K267" s="1">
        <v>45729</v>
      </c>
      <c r="L267" t="s">
        <v>14</v>
      </c>
      <c r="M267" t="s">
        <v>63</v>
      </c>
      <c r="N267">
        <v>724.11</v>
      </c>
      <c r="O267" t="s">
        <v>74</v>
      </c>
      <c r="P267">
        <v>2025</v>
      </c>
      <c r="Q267">
        <f>IF(Nike_Sales_Cleaned[[#This Row],[Revenue]] = 0, 0, Nike_Sales_Cleaned[[#This Row],[Profit]]/Nike_Sales_Cleaned[[#This Row],[Revenue]])</f>
        <v>3.4592420824531275E-2</v>
      </c>
    </row>
    <row r="268" spans="1:17" x14ac:dyDescent="0.3">
      <c r="A268">
        <v>3357</v>
      </c>
      <c r="B268" t="s">
        <v>10</v>
      </c>
      <c r="C268" t="s">
        <v>11</v>
      </c>
      <c r="D268" t="s">
        <v>26</v>
      </c>
      <c r="E268" t="s">
        <v>13</v>
      </c>
      <c r="F268">
        <v>4</v>
      </c>
      <c r="G268">
        <v>5649.73</v>
      </c>
      <c r="H268">
        <v>0.5</v>
      </c>
      <c r="I268">
        <v>5649.23</v>
      </c>
      <c r="J268">
        <v>22596.92</v>
      </c>
      <c r="K268" s="1">
        <v>45752</v>
      </c>
      <c r="L268" t="s">
        <v>14</v>
      </c>
      <c r="M268" t="s">
        <v>65</v>
      </c>
      <c r="N268">
        <v>678.42</v>
      </c>
      <c r="O268" t="s">
        <v>77</v>
      </c>
      <c r="P268">
        <v>2025</v>
      </c>
      <c r="Q268">
        <f>IF(Nike_Sales_Cleaned[[#This Row],[Revenue]] = 0, 0, Nike_Sales_Cleaned[[#This Row],[Profit]]/Nike_Sales_Cleaned[[#This Row],[Revenue]])</f>
        <v>3.0022675656682415E-2</v>
      </c>
    </row>
    <row r="269" spans="1:17" x14ac:dyDescent="0.3">
      <c r="A269">
        <v>3360</v>
      </c>
      <c r="B269" t="s">
        <v>15</v>
      </c>
      <c r="C269" t="s">
        <v>11</v>
      </c>
      <c r="D269" t="s">
        <v>34</v>
      </c>
      <c r="E269" t="s">
        <v>13</v>
      </c>
      <c r="F269">
        <v>4</v>
      </c>
      <c r="G269">
        <v>6186.9950000000008</v>
      </c>
      <c r="H269">
        <v>0.06</v>
      </c>
      <c r="I269">
        <v>6186.0550000000012</v>
      </c>
      <c r="J269">
        <v>24744.220000000005</v>
      </c>
      <c r="K269" s="1">
        <v>45504</v>
      </c>
      <c r="L269" t="s">
        <v>14</v>
      </c>
      <c r="M269" t="s">
        <v>64</v>
      </c>
      <c r="N269">
        <v>304.12</v>
      </c>
      <c r="O269" t="s">
        <v>74</v>
      </c>
      <c r="P269">
        <v>2024</v>
      </c>
      <c r="Q269">
        <f>IF(Nike_Sales_Cleaned[[#This Row],[Revenue]] = 0, 0, Nike_Sales_Cleaned[[#This Row],[Profit]]/Nike_Sales_Cleaned[[#This Row],[Revenue]])</f>
        <v>1.2290547044926044E-2</v>
      </c>
    </row>
    <row r="270" spans="1:17" x14ac:dyDescent="0.3">
      <c r="A270">
        <v>3371</v>
      </c>
      <c r="B270" t="s">
        <v>27</v>
      </c>
      <c r="C270" t="s">
        <v>11</v>
      </c>
      <c r="D270" t="s">
        <v>26</v>
      </c>
      <c r="E270" t="s">
        <v>25</v>
      </c>
      <c r="F270">
        <v>1</v>
      </c>
      <c r="G270">
        <v>5649.73</v>
      </c>
      <c r="H270">
        <v>0</v>
      </c>
      <c r="I270">
        <v>5648.73</v>
      </c>
      <c r="J270">
        <v>5648.73</v>
      </c>
      <c r="K270" s="1">
        <v>45773</v>
      </c>
      <c r="L270" t="s">
        <v>18</v>
      </c>
      <c r="M270" t="s">
        <v>65</v>
      </c>
      <c r="N270">
        <v>2255.4299999999998</v>
      </c>
      <c r="O270" t="s">
        <v>74</v>
      </c>
      <c r="P270">
        <v>2025</v>
      </c>
      <c r="Q270">
        <f>IF(Nike_Sales_Cleaned[[#This Row],[Revenue]] = 0, 0, Nike_Sales_Cleaned[[#This Row],[Profit]]/Nike_Sales_Cleaned[[#This Row],[Revenue]])</f>
        <v>0.39928090030856495</v>
      </c>
    </row>
    <row r="271" spans="1:17" x14ac:dyDescent="0.3">
      <c r="A271">
        <v>3374</v>
      </c>
      <c r="B271" t="s">
        <v>27</v>
      </c>
      <c r="C271" t="s">
        <v>11</v>
      </c>
      <c r="D271" t="s">
        <v>26</v>
      </c>
      <c r="E271" t="s">
        <v>13</v>
      </c>
      <c r="F271">
        <v>4</v>
      </c>
      <c r="G271">
        <v>5649.73</v>
      </c>
      <c r="H271">
        <v>0</v>
      </c>
      <c r="I271">
        <v>5648.73</v>
      </c>
      <c r="J271">
        <v>22594.92</v>
      </c>
      <c r="K271" s="1">
        <v>45642</v>
      </c>
      <c r="L271" t="s">
        <v>14</v>
      </c>
      <c r="M271" t="s">
        <v>62</v>
      </c>
      <c r="N271">
        <v>1905.25</v>
      </c>
      <c r="O271" t="s">
        <v>74</v>
      </c>
      <c r="P271">
        <v>2024</v>
      </c>
      <c r="Q271">
        <f>IF(Nike_Sales_Cleaned[[#This Row],[Revenue]] = 0, 0, Nike_Sales_Cleaned[[#This Row],[Profit]]/Nike_Sales_Cleaned[[#This Row],[Revenue]])</f>
        <v>8.4322051151320743E-2</v>
      </c>
    </row>
    <row r="272" spans="1:17" x14ac:dyDescent="0.3">
      <c r="A272">
        <v>3382</v>
      </c>
      <c r="B272" t="s">
        <v>27</v>
      </c>
      <c r="C272" t="s">
        <v>31</v>
      </c>
      <c r="D272" t="s">
        <v>48</v>
      </c>
      <c r="E272" t="s">
        <v>25</v>
      </c>
      <c r="F272">
        <v>2</v>
      </c>
      <c r="G272">
        <v>5355.64</v>
      </c>
      <c r="H272">
        <v>0</v>
      </c>
      <c r="I272">
        <v>5354.64</v>
      </c>
      <c r="J272">
        <v>10709.28</v>
      </c>
      <c r="K272" s="1">
        <v>45667</v>
      </c>
      <c r="L272" t="s">
        <v>18</v>
      </c>
      <c r="M272" t="s">
        <v>61</v>
      </c>
      <c r="N272">
        <v>1710.15</v>
      </c>
      <c r="O272" t="s">
        <v>74</v>
      </c>
      <c r="P272">
        <v>2025</v>
      </c>
      <c r="Q272">
        <f>IF(Nike_Sales_Cleaned[[#This Row],[Revenue]] = 0, 0, Nike_Sales_Cleaned[[#This Row],[Profit]]/Nike_Sales_Cleaned[[#This Row],[Revenue]])</f>
        <v>0.15968860651696473</v>
      </c>
    </row>
    <row r="273" spans="1:17" x14ac:dyDescent="0.3">
      <c r="A273">
        <v>3389</v>
      </c>
      <c r="B273" t="s">
        <v>15</v>
      </c>
      <c r="C273" t="s">
        <v>23</v>
      </c>
      <c r="D273" t="s">
        <v>35</v>
      </c>
      <c r="E273" t="s">
        <v>13</v>
      </c>
      <c r="F273">
        <v>3</v>
      </c>
      <c r="G273">
        <v>5282.31</v>
      </c>
      <c r="H273">
        <v>0</v>
      </c>
      <c r="I273">
        <v>5281.31</v>
      </c>
      <c r="J273">
        <v>15843.93</v>
      </c>
      <c r="K273" s="1">
        <v>45751</v>
      </c>
      <c r="L273" t="s">
        <v>14</v>
      </c>
      <c r="M273" t="s">
        <v>63</v>
      </c>
      <c r="N273">
        <v>3491.49</v>
      </c>
      <c r="O273" t="s">
        <v>74</v>
      </c>
      <c r="P273">
        <v>2025</v>
      </c>
      <c r="Q273">
        <f>IF(Nike_Sales_Cleaned[[#This Row],[Revenue]] = 0, 0, Nike_Sales_Cleaned[[#This Row],[Profit]]/Nike_Sales_Cleaned[[#This Row],[Revenue]])</f>
        <v>0.22036767392938492</v>
      </c>
    </row>
    <row r="274" spans="1:17" x14ac:dyDescent="0.3">
      <c r="A274">
        <v>3391</v>
      </c>
      <c r="B274" t="s">
        <v>15</v>
      </c>
      <c r="C274" t="s">
        <v>16</v>
      </c>
      <c r="D274" t="s">
        <v>29</v>
      </c>
      <c r="E274" t="s">
        <v>13</v>
      </c>
      <c r="F274">
        <v>2</v>
      </c>
      <c r="G274">
        <v>6880.21</v>
      </c>
      <c r="H274">
        <v>0</v>
      </c>
      <c r="I274">
        <v>6879.21</v>
      </c>
      <c r="J274">
        <v>13758.42</v>
      </c>
      <c r="K274" s="1">
        <v>45244</v>
      </c>
      <c r="L274" t="s">
        <v>18</v>
      </c>
      <c r="M274" t="s">
        <v>61</v>
      </c>
      <c r="N274">
        <v>1628.31</v>
      </c>
      <c r="O274" t="s">
        <v>74</v>
      </c>
      <c r="P274">
        <v>2023</v>
      </c>
      <c r="Q274">
        <f>IF(Nike_Sales_Cleaned[[#This Row],[Revenue]] = 0, 0, Nike_Sales_Cleaned[[#This Row],[Profit]]/Nike_Sales_Cleaned[[#This Row],[Revenue]])</f>
        <v>0.11835007217398509</v>
      </c>
    </row>
    <row r="275" spans="1:17" x14ac:dyDescent="0.3">
      <c r="A275">
        <v>3394</v>
      </c>
      <c r="B275" t="s">
        <v>10</v>
      </c>
      <c r="C275" t="s">
        <v>20</v>
      </c>
      <c r="D275" t="s">
        <v>45</v>
      </c>
      <c r="E275" t="s">
        <v>25</v>
      </c>
      <c r="F275">
        <v>1</v>
      </c>
      <c r="G275">
        <v>6202.99</v>
      </c>
      <c r="H275">
        <v>0</v>
      </c>
      <c r="I275">
        <v>6201.99</v>
      </c>
      <c r="J275">
        <v>6201.99</v>
      </c>
      <c r="K275" s="1">
        <v>45599</v>
      </c>
      <c r="L275" t="s">
        <v>14</v>
      </c>
      <c r="M275" t="s">
        <v>61</v>
      </c>
      <c r="N275">
        <v>2396.11</v>
      </c>
      <c r="O275" t="s">
        <v>74</v>
      </c>
      <c r="P275">
        <v>2024</v>
      </c>
      <c r="Q275">
        <f>IF(Nike_Sales_Cleaned[[#This Row],[Revenue]] = 0, 0, Nike_Sales_Cleaned[[#This Row],[Profit]]/Nike_Sales_Cleaned[[#This Row],[Revenue]])</f>
        <v>0.38634535044397045</v>
      </c>
    </row>
    <row r="276" spans="1:17" x14ac:dyDescent="0.3">
      <c r="A276">
        <v>3395</v>
      </c>
      <c r="B276" t="s">
        <v>15</v>
      </c>
      <c r="C276" t="s">
        <v>23</v>
      </c>
      <c r="D276" t="s">
        <v>37</v>
      </c>
      <c r="E276" t="s">
        <v>22</v>
      </c>
      <c r="F276">
        <v>3</v>
      </c>
      <c r="G276">
        <v>5620.64</v>
      </c>
      <c r="H276">
        <v>0</v>
      </c>
      <c r="I276">
        <v>5619.64</v>
      </c>
      <c r="J276">
        <v>16858.920000000002</v>
      </c>
      <c r="K276" s="1">
        <v>45672</v>
      </c>
      <c r="L276" t="s">
        <v>14</v>
      </c>
      <c r="M276" t="s">
        <v>63</v>
      </c>
      <c r="N276">
        <v>3069.77</v>
      </c>
      <c r="O276" t="s">
        <v>74</v>
      </c>
      <c r="P276">
        <v>2025</v>
      </c>
      <c r="Q276">
        <f>IF(Nike_Sales_Cleaned[[#This Row],[Revenue]] = 0, 0, Nike_Sales_Cleaned[[#This Row],[Profit]]/Nike_Sales_Cleaned[[#This Row],[Revenue]])</f>
        <v>0.18208580383559561</v>
      </c>
    </row>
    <row r="277" spans="1:17" x14ac:dyDescent="0.3">
      <c r="A277">
        <v>3398</v>
      </c>
      <c r="B277" t="s">
        <v>27</v>
      </c>
      <c r="C277" t="s">
        <v>31</v>
      </c>
      <c r="D277" t="s">
        <v>48</v>
      </c>
      <c r="E277" t="s">
        <v>25</v>
      </c>
      <c r="F277">
        <v>2</v>
      </c>
      <c r="G277">
        <v>5355.64</v>
      </c>
      <c r="H277">
        <v>0</v>
      </c>
      <c r="I277">
        <v>5354.64</v>
      </c>
      <c r="J277">
        <v>10709.28</v>
      </c>
      <c r="K277" s="1">
        <v>45165</v>
      </c>
      <c r="L277" t="s">
        <v>18</v>
      </c>
      <c r="M277" t="s">
        <v>66</v>
      </c>
      <c r="N277">
        <v>415.57</v>
      </c>
      <c r="O277" t="s">
        <v>74</v>
      </c>
      <c r="P277">
        <v>2023</v>
      </c>
      <c r="Q277">
        <f>IF(Nike_Sales_Cleaned[[#This Row],[Revenue]] = 0, 0, Nike_Sales_Cleaned[[#This Row],[Profit]]/Nike_Sales_Cleaned[[#This Row],[Revenue]])</f>
        <v>3.8804662871827045E-2</v>
      </c>
    </row>
    <row r="278" spans="1:17" x14ac:dyDescent="0.3">
      <c r="A278">
        <v>3409</v>
      </c>
      <c r="B278" t="s">
        <v>10</v>
      </c>
      <c r="C278" t="s">
        <v>23</v>
      </c>
      <c r="D278" t="s">
        <v>35</v>
      </c>
      <c r="E278" t="s">
        <v>13</v>
      </c>
      <c r="F278">
        <v>1</v>
      </c>
      <c r="G278">
        <v>5282.31</v>
      </c>
      <c r="H278">
        <v>0.3</v>
      </c>
      <c r="I278">
        <v>5281.6100000000006</v>
      </c>
      <c r="J278">
        <v>5281.6100000000006</v>
      </c>
      <c r="K278" s="1">
        <v>45543</v>
      </c>
      <c r="L278" t="s">
        <v>18</v>
      </c>
      <c r="M278" t="s">
        <v>65</v>
      </c>
      <c r="N278">
        <v>-1106.07</v>
      </c>
      <c r="O278" t="s">
        <v>78</v>
      </c>
      <c r="P278">
        <v>2024</v>
      </c>
      <c r="Q278">
        <f>IF(Nike_Sales_Cleaned[[#This Row],[Revenue]] = 0, 0, Nike_Sales_Cleaned[[#This Row],[Profit]]/Nike_Sales_Cleaned[[#This Row],[Revenue]])</f>
        <v>-0.20941909758577401</v>
      </c>
    </row>
    <row r="279" spans="1:17" x14ac:dyDescent="0.3">
      <c r="A279">
        <v>3413</v>
      </c>
      <c r="B279" t="s">
        <v>10</v>
      </c>
      <c r="C279" t="s">
        <v>16</v>
      </c>
      <c r="D279" t="s">
        <v>42</v>
      </c>
      <c r="E279" t="s">
        <v>25</v>
      </c>
      <c r="F279">
        <v>2</v>
      </c>
      <c r="G279">
        <v>5940.3850000000002</v>
      </c>
      <c r="H279">
        <v>0</v>
      </c>
      <c r="I279">
        <v>5939.3850000000002</v>
      </c>
      <c r="J279">
        <v>11878.77</v>
      </c>
      <c r="K279" s="1">
        <v>45138</v>
      </c>
      <c r="L279" t="s">
        <v>14</v>
      </c>
      <c r="M279" t="s">
        <v>61</v>
      </c>
      <c r="N279">
        <v>2752.65</v>
      </c>
      <c r="O279" t="s">
        <v>74</v>
      </c>
      <c r="P279">
        <v>2023</v>
      </c>
      <c r="Q279">
        <f>IF(Nike_Sales_Cleaned[[#This Row],[Revenue]] = 0, 0, Nike_Sales_Cleaned[[#This Row],[Profit]]/Nike_Sales_Cleaned[[#This Row],[Revenue]])</f>
        <v>0.23172853755060499</v>
      </c>
    </row>
    <row r="280" spans="1:17" x14ac:dyDescent="0.3">
      <c r="A280">
        <v>3414</v>
      </c>
      <c r="B280" t="s">
        <v>27</v>
      </c>
      <c r="C280" t="s">
        <v>20</v>
      </c>
      <c r="D280" t="s">
        <v>45</v>
      </c>
      <c r="E280" t="s">
        <v>44</v>
      </c>
      <c r="F280">
        <v>4</v>
      </c>
      <c r="G280">
        <v>6202.99</v>
      </c>
      <c r="H280">
        <v>0</v>
      </c>
      <c r="I280">
        <v>6201.99</v>
      </c>
      <c r="J280">
        <v>24807.96</v>
      </c>
      <c r="K280" s="1">
        <v>45678</v>
      </c>
      <c r="L280" t="s">
        <v>14</v>
      </c>
      <c r="M280" t="s">
        <v>63</v>
      </c>
      <c r="N280">
        <v>520.63</v>
      </c>
      <c r="O280" t="s">
        <v>74</v>
      </c>
      <c r="P280">
        <v>2025</v>
      </c>
      <c r="Q280">
        <f>IF(Nike_Sales_Cleaned[[#This Row],[Revenue]] = 0, 0, Nike_Sales_Cleaned[[#This Row],[Profit]]/Nike_Sales_Cleaned[[#This Row],[Revenue]])</f>
        <v>2.098640920091777E-2</v>
      </c>
    </row>
    <row r="281" spans="1:17" x14ac:dyDescent="0.3">
      <c r="A281">
        <v>3423</v>
      </c>
      <c r="B281" t="s">
        <v>10</v>
      </c>
      <c r="C281" t="s">
        <v>31</v>
      </c>
      <c r="D281" t="s">
        <v>38</v>
      </c>
      <c r="E281" t="s">
        <v>22</v>
      </c>
      <c r="F281">
        <v>2</v>
      </c>
      <c r="G281">
        <v>5117.8649999999998</v>
      </c>
      <c r="H281">
        <v>0</v>
      </c>
      <c r="I281">
        <v>5116.8649999999998</v>
      </c>
      <c r="J281">
        <v>10233.73</v>
      </c>
      <c r="K281" s="1">
        <v>45510</v>
      </c>
      <c r="L281" t="s">
        <v>18</v>
      </c>
      <c r="M281" t="s">
        <v>63</v>
      </c>
      <c r="N281">
        <v>106</v>
      </c>
      <c r="O281" t="s">
        <v>74</v>
      </c>
      <c r="P281">
        <v>2024</v>
      </c>
      <c r="Q281">
        <f>IF(Nike_Sales_Cleaned[[#This Row],[Revenue]] = 0, 0, Nike_Sales_Cleaned[[#This Row],[Profit]]/Nike_Sales_Cleaned[[#This Row],[Revenue]])</f>
        <v>1.0357904693596568E-2</v>
      </c>
    </row>
    <row r="282" spans="1:17" x14ac:dyDescent="0.3">
      <c r="A282">
        <v>3428</v>
      </c>
      <c r="B282" t="s">
        <v>15</v>
      </c>
      <c r="C282" t="s">
        <v>31</v>
      </c>
      <c r="D282" t="s">
        <v>32</v>
      </c>
      <c r="E282" t="s">
        <v>36</v>
      </c>
      <c r="F282">
        <v>1</v>
      </c>
      <c r="G282">
        <v>5981.92</v>
      </c>
      <c r="H282">
        <v>0.23</v>
      </c>
      <c r="I282">
        <v>5981.15</v>
      </c>
      <c r="J282">
        <v>5981.15</v>
      </c>
      <c r="K282" s="1">
        <v>45629</v>
      </c>
      <c r="L282" t="s">
        <v>14</v>
      </c>
      <c r="M282" t="s">
        <v>64</v>
      </c>
      <c r="N282">
        <v>625.29999999999995</v>
      </c>
      <c r="O282" t="s">
        <v>78</v>
      </c>
      <c r="P282">
        <v>2024</v>
      </c>
      <c r="Q282">
        <f>IF(Nike_Sales_Cleaned[[#This Row],[Revenue]] = 0, 0, Nike_Sales_Cleaned[[#This Row],[Profit]]/Nike_Sales_Cleaned[[#This Row],[Revenue]])</f>
        <v>0.10454511256196551</v>
      </c>
    </row>
    <row r="283" spans="1:17" x14ac:dyDescent="0.3">
      <c r="A283">
        <v>3438</v>
      </c>
      <c r="B283" t="s">
        <v>15</v>
      </c>
      <c r="C283" t="s">
        <v>16</v>
      </c>
      <c r="D283" t="s">
        <v>42</v>
      </c>
      <c r="E283" t="s">
        <v>44</v>
      </c>
      <c r="F283">
        <v>3</v>
      </c>
      <c r="G283">
        <v>5940.3850000000002</v>
      </c>
      <c r="H283">
        <v>0.18</v>
      </c>
      <c r="I283">
        <v>5939.5650000000005</v>
      </c>
      <c r="J283">
        <v>17818.695</v>
      </c>
      <c r="K283" s="1">
        <v>45540</v>
      </c>
      <c r="L283" t="s">
        <v>18</v>
      </c>
      <c r="M283" t="s">
        <v>61</v>
      </c>
      <c r="N283">
        <v>1669.74</v>
      </c>
      <c r="O283" t="s">
        <v>76</v>
      </c>
      <c r="P283">
        <v>2024</v>
      </c>
      <c r="Q283">
        <f>IF(Nike_Sales_Cleaned[[#This Row],[Revenue]] = 0, 0, Nike_Sales_Cleaned[[#This Row],[Profit]]/Nike_Sales_Cleaned[[#This Row],[Revenue]])</f>
        <v>9.3707199096230112E-2</v>
      </c>
    </row>
    <row r="284" spans="1:17" x14ac:dyDescent="0.3">
      <c r="A284">
        <v>3441</v>
      </c>
      <c r="B284" t="s">
        <v>10</v>
      </c>
      <c r="C284" t="s">
        <v>23</v>
      </c>
      <c r="D284" t="s">
        <v>37</v>
      </c>
      <c r="E284" t="s">
        <v>40</v>
      </c>
      <c r="F284">
        <v>2</v>
      </c>
      <c r="G284">
        <v>5620.64</v>
      </c>
      <c r="H284">
        <v>0</v>
      </c>
      <c r="I284">
        <v>5619.64</v>
      </c>
      <c r="J284">
        <v>11239.28</v>
      </c>
      <c r="K284" s="1">
        <v>45785</v>
      </c>
      <c r="L284" t="s">
        <v>18</v>
      </c>
      <c r="M284" t="s">
        <v>65</v>
      </c>
      <c r="N284">
        <v>3301.27</v>
      </c>
      <c r="O284" t="s">
        <v>74</v>
      </c>
      <c r="P284">
        <v>2025</v>
      </c>
      <c r="Q284">
        <f>IF(Nike_Sales_Cleaned[[#This Row],[Revenue]] = 0, 0, Nike_Sales_Cleaned[[#This Row],[Profit]]/Nike_Sales_Cleaned[[#This Row],[Revenue]])</f>
        <v>0.29372611056936032</v>
      </c>
    </row>
    <row r="285" spans="1:17" x14ac:dyDescent="0.3">
      <c r="A285">
        <v>3442</v>
      </c>
      <c r="B285" t="s">
        <v>10</v>
      </c>
      <c r="C285" t="s">
        <v>31</v>
      </c>
      <c r="D285" t="s">
        <v>39</v>
      </c>
      <c r="E285" t="s">
        <v>25</v>
      </c>
      <c r="F285">
        <v>4</v>
      </c>
      <c r="G285">
        <v>7845.46</v>
      </c>
      <c r="H285">
        <v>0</v>
      </c>
      <c r="I285">
        <v>7844.46</v>
      </c>
      <c r="J285">
        <v>31377.84</v>
      </c>
      <c r="K285" s="1">
        <v>45678</v>
      </c>
      <c r="L285" t="s">
        <v>14</v>
      </c>
      <c r="M285" t="s">
        <v>63</v>
      </c>
      <c r="N285">
        <v>3129.5</v>
      </c>
      <c r="O285" t="s">
        <v>74</v>
      </c>
      <c r="P285">
        <v>2025</v>
      </c>
      <c r="Q285">
        <f>IF(Nike_Sales_Cleaned[[#This Row],[Revenue]] = 0, 0, Nike_Sales_Cleaned[[#This Row],[Profit]]/Nike_Sales_Cleaned[[#This Row],[Revenue]])</f>
        <v>9.9735992024944986E-2</v>
      </c>
    </row>
    <row r="286" spans="1:17" x14ac:dyDescent="0.3">
      <c r="A286">
        <v>3450</v>
      </c>
      <c r="B286" t="s">
        <v>27</v>
      </c>
      <c r="C286" t="s">
        <v>23</v>
      </c>
      <c r="D286" t="s">
        <v>24</v>
      </c>
      <c r="E286" t="s">
        <v>13</v>
      </c>
      <c r="F286">
        <v>3</v>
      </c>
      <c r="G286">
        <v>7557.71</v>
      </c>
      <c r="H286">
        <v>0</v>
      </c>
      <c r="I286">
        <v>7556.71</v>
      </c>
      <c r="J286">
        <v>22670.13</v>
      </c>
      <c r="K286" s="1">
        <v>45307</v>
      </c>
      <c r="L286" t="s">
        <v>18</v>
      </c>
      <c r="M286" t="s">
        <v>64</v>
      </c>
      <c r="N286">
        <v>904.82</v>
      </c>
      <c r="O286" t="s">
        <v>74</v>
      </c>
      <c r="P286">
        <v>2024</v>
      </c>
      <c r="Q286">
        <f>IF(Nike_Sales_Cleaned[[#This Row],[Revenue]] = 0, 0, Nike_Sales_Cleaned[[#This Row],[Profit]]/Nike_Sales_Cleaned[[#This Row],[Revenue]])</f>
        <v>3.9912431027082772E-2</v>
      </c>
    </row>
    <row r="287" spans="1:17" x14ac:dyDescent="0.3">
      <c r="A287">
        <v>3463</v>
      </c>
      <c r="B287" t="s">
        <v>15</v>
      </c>
      <c r="C287" t="s">
        <v>16</v>
      </c>
      <c r="D287" t="s">
        <v>42</v>
      </c>
      <c r="E287" t="s">
        <v>40</v>
      </c>
      <c r="F287">
        <v>1</v>
      </c>
      <c r="G287">
        <v>5940.3850000000002</v>
      </c>
      <c r="H287">
        <v>0</v>
      </c>
      <c r="I287">
        <v>5939.3850000000002</v>
      </c>
      <c r="J287">
        <v>5939.3850000000002</v>
      </c>
      <c r="K287" s="1">
        <v>45712</v>
      </c>
      <c r="L287" t="s">
        <v>18</v>
      </c>
      <c r="M287" t="s">
        <v>62</v>
      </c>
      <c r="N287">
        <v>1853.7</v>
      </c>
      <c r="O287" t="s">
        <v>74</v>
      </c>
      <c r="P287">
        <v>2025</v>
      </c>
      <c r="Q287">
        <f>IF(Nike_Sales_Cleaned[[#This Row],[Revenue]] = 0, 0, Nike_Sales_Cleaned[[#This Row],[Profit]]/Nike_Sales_Cleaned[[#This Row],[Revenue]])</f>
        <v>0.31210302076730168</v>
      </c>
    </row>
    <row r="288" spans="1:17" x14ac:dyDescent="0.3">
      <c r="A288">
        <v>3467</v>
      </c>
      <c r="B288" t="s">
        <v>27</v>
      </c>
      <c r="C288" t="s">
        <v>20</v>
      </c>
      <c r="D288" t="s">
        <v>47</v>
      </c>
      <c r="E288" t="s">
        <v>13</v>
      </c>
      <c r="F288">
        <v>2</v>
      </c>
      <c r="G288">
        <v>6010.71</v>
      </c>
      <c r="H288">
        <v>0</v>
      </c>
      <c r="I288">
        <v>6009.71</v>
      </c>
      <c r="J288">
        <v>12019.42</v>
      </c>
      <c r="K288" s="1">
        <v>45729</v>
      </c>
      <c r="L288" t="s">
        <v>14</v>
      </c>
      <c r="M288" t="s">
        <v>64</v>
      </c>
      <c r="N288">
        <v>1472.83</v>
      </c>
      <c r="O288" t="s">
        <v>74</v>
      </c>
      <c r="P288">
        <v>2025</v>
      </c>
      <c r="Q288">
        <f>IF(Nike_Sales_Cleaned[[#This Row],[Revenue]] = 0, 0, Nike_Sales_Cleaned[[#This Row],[Profit]]/Nike_Sales_Cleaned[[#This Row],[Revenue]])</f>
        <v>0.12253752676917853</v>
      </c>
    </row>
    <row r="289" spans="1:17" x14ac:dyDescent="0.3">
      <c r="A289">
        <v>3469</v>
      </c>
      <c r="B289" t="s">
        <v>10</v>
      </c>
      <c r="C289" t="s">
        <v>23</v>
      </c>
      <c r="D289" t="s">
        <v>35</v>
      </c>
      <c r="E289" t="s">
        <v>46</v>
      </c>
      <c r="F289">
        <v>1</v>
      </c>
      <c r="G289">
        <v>5282.31</v>
      </c>
      <c r="H289">
        <v>0</v>
      </c>
      <c r="I289">
        <v>5281.31</v>
      </c>
      <c r="J289">
        <v>5281.31</v>
      </c>
      <c r="K289" s="1">
        <v>45566</v>
      </c>
      <c r="L289" t="s">
        <v>14</v>
      </c>
      <c r="M289" t="s">
        <v>63</v>
      </c>
      <c r="N289">
        <v>3792.66</v>
      </c>
      <c r="O289" t="s">
        <v>74</v>
      </c>
      <c r="P289">
        <v>2024</v>
      </c>
      <c r="Q289">
        <f>IF(Nike_Sales_Cleaned[[#This Row],[Revenue]] = 0, 0, Nike_Sales_Cleaned[[#This Row],[Profit]]/Nike_Sales_Cleaned[[#This Row],[Revenue]])</f>
        <v>0.71812864611242277</v>
      </c>
    </row>
    <row r="290" spans="1:17" x14ac:dyDescent="0.3">
      <c r="A290">
        <v>3473</v>
      </c>
      <c r="B290" t="s">
        <v>10</v>
      </c>
      <c r="C290" t="s">
        <v>16</v>
      </c>
      <c r="D290" t="s">
        <v>19</v>
      </c>
      <c r="E290" t="s">
        <v>13</v>
      </c>
      <c r="F290">
        <v>4</v>
      </c>
      <c r="G290">
        <v>5178.83</v>
      </c>
      <c r="H290">
        <v>0</v>
      </c>
      <c r="I290">
        <v>5177.83</v>
      </c>
      <c r="J290">
        <v>20711.32</v>
      </c>
      <c r="K290" s="1">
        <v>45631</v>
      </c>
      <c r="L290" t="s">
        <v>14</v>
      </c>
      <c r="M290" t="s">
        <v>65</v>
      </c>
      <c r="N290">
        <v>63.47</v>
      </c>
      <c r="O290" t="s">
        <v>74</v>
      </c>
      <c r="P290">
        <v>2024</v>
      </c>
      <c r="Q290">
        <f>IF(Nike_Sales_Cleaned[[#This Row],[Revenue]] = 0, 0, Nike_Sales_Cleaned[[#This Row],[Profit]]/Nike_Sales_Cleaned[[#This Row],[Revenue]])</f>
        <v>3.0645077184843846E-3</v>
      </c>
    </row>
    <row r="291" spans="1:17" x14ac:dyDescent="0.3">
      <c r="A291">
        <v>3475</v>
      </c>
      <c r="B291" t="s">
        <v>10</v>
      </c>
      <c r="C291" t="s">
        <v>16</v>
      </c>
      <c r="D291" t="s">
        <v>17</v>
      </c>
      <c r="E291" t="s">
        <v>22</v>
      </c>
      <c r="F291">
        <v>1</v>
      </c>
      <c r="G291">
        <v>5234.1550000000007</v>
      </c>
      <c r="H291">
        <v>0</v>
      </c>
      <c r="I291">
        <v>5233.1550000000007</v>
      </c>
      <c r="J291">
        <v>5233.1550000000007</v>
      </c>
      <c r="K291" s="1">
        <v>45502</v>
      </c>
      <c r="L291" t="s">
        <v>14</v>
      </c>
      <c r="M291" t="s">
        <v>63</v>
      </c>
      <c r="N291">
        <v>2996.47</v>
      </c>
      <c r="O291" t="s">
        <v>74</v>
      </c>
      <c r="P291">
        <v>2024</v>
      </c>
      <c r="Q291">
        <f>IF(Nike_Sales_Cleaned[[#This Row],[Revenue]] = 0, 0, Nike_Sales_Cleaned[[#This Row],[Profit]]/Nike_Sales_Cleaned[[#This Row],[Revenue]])</f>
        <v>0.57259339729092673</v>
      </c>
    </row>
    <row r="292" spans="1:17" x14ac:dyDescent="0.3">
      <c r="A292">
        <v>3477</v>
      </c>
      <c r="B292" t="s">
        <v>27</v>
      </c>
      <c r="C292" t="s">
        <v>31</v>
      </c>
      <c r="D292" t="s">
        <v>32</v>
      </c>
      <c r="E292" t="s">
        <v>13</v>
      </c>
      <c r="F292">
        <v>2</v>
      </c>
      <c r="G292">
        <v>5981.92</v>
      </c>
      <c r="H292">
        <v>0</v>
      </c>
      <c r="I292">
        <v>5980.92</v>
      </c>
      <c r="J292">
        <v>11961.84</v>
      </c>
      <c r="K292" s="1">
        <v>45772</v>
      </c>
      <c r="L292" t="s">
        <v>14</v>
      </c>
      <c r="M292" t="s">
        <v>65</v>
      </c>
      <c r="N292">
        <v>1691.28</v>
      </c>
      <c r="O292" t="s">
        <v>74</v>
      </c>
      <c r="P292">
        <v>2025</v>
      </c>
      <c r="Q292">
        <f>IF(Nike_Sales_Cleaned[[#This Row],[Revenue]] = 0, 0, Nike_Sales_Cleaned[[#This Row],[Profit]]/Nike_Sales_Cleaned[[#This Row],[Revenue]])</f>
        <v>0.14138961898838306</v>
      </c>
    </row>
    <row r="293" spans="1:17" x14ac:dyDescent="0.3">
      <c r="A293">
        <v>3479</v>
      </c>
      <c r="B293" t="s">
        <v>15</v>
      </c>
      <c r="C293" t="s">
        <v>11</v>
      </c>
      <c r="D293" t="s">
        <v>41</v>
      </c>
      <c r="E293" t="s">
        <v>25</v>
      </c>
      <c r="F293">
        <v>4</v>
      </c>
      <c r="G293">
        <v>7594.7199999999993</v>
      </c>
      <c r="H293">
        <v>0</v>
      </c>
      <c r="I293">
        <v>7593.7199999999993</v>
      </c>
      <c r="J293">
        <v>30374.879999999997</v>
      </c>
      <c r="K293" s="1">
        <v>45551</v>
      </c>
      <c r="L293" t="s">
        <v>18</v>
      </c>
      <c r="M293" t="s">
        <v>63</v>
      </c>
      <c r="N293">
        <v>1909.78</v>
      </c>
      <c r="O293" t="s">
        <v>74</v>
      </c>
      <c r="P293">
        <v>2024</v>
      </c>
      <c r="Q293">
        <f>IF(Nike_Sales_Cleaned[[#This Row],[Revenue]] = 0, 0, Nike_Sales_Cleaned[[#This Row],[Profit]]/Nike_Sales_Cleaned[[#This Row],[Revenue]])</f>
        <v>6.2873664027643897E-2</v>
      </c>
    </row>
    <row r="294" spans="1:17" x14ac:dyDescent="0.3">
      <c r="A294">
        <v>3481</v>
      </c>
      <c r="B294" t="s">
        <v>15</v>
      </c>
      <c r="C294" t="s">
        <v>20</v>
      </c>
      <c r="D294" t="s">
        <v>47</v>
      </c>
      <c r="E294" t="s">
        <v>25</v>
      </c>
      <c r="F294">
        <v>4</v>
      </c>
      <c r="G294">
        <v>6010.71</v>
      </c>
      <c r="H294">
        <v>0</v>
      </c>
      <c r="I294">
        <v>6009.71</v>
      </c>
      <c r="J294">
        <v>24038.84</v>
      </c>
      <c r="K294" s="1">
        <v>45214</v>
      </c>
      <c r="L294" t="s">
        <v>14</v>
      </c>
      <c r="M294" t="s">
        <v>64</v>
      </c>
      <c r="N294">
        <v>2564.61</v>
      </c>
      <c r="O294" t="s">
        <v>74</v>
      </c>
      <c r="P294">
        <v>2023</v>
      </c>
      <c r="Q294">
        <f>IF(Nike_Sales_Cleaned[[#This Row],[Revenue]] = 0, 0, Nike_Sales_Cleaned[[#This Row],[Profit]]/Nike_Sales_Cleaned[[#This Row],[Revenue]])</f>
        <v>0.10668609633409933</v>
      </c>
    </row>
    <row r="295" spans="1:17" x14ac:dyDescent="0.3">
      <c r="A295">
        <v>3483</v>
      </c>
      <c r="B295" t="s">
        <v>27</v>
      </c>
      <c r="C295" t="s">
        <v>20</v>
      </c>
      <c r="D295" t="s">
        <v>47</v>
      </c>
      <c r="E295" t="s">
        <v>22</v>
      </c>
      <c r="F295">
        <v>4</v>
      </c>
      <c r="G295">
        <v>6010.71</v>
      </c>
      <c r="H295">
        <v>0</v>
      </c>
      <c r="I295">
        <v>6009.71</v>
      </c>
      <c r="J295">
        <v>24038.84</v>
      </c>
      <c r="K295" s="1">
        <v>45630</v>
      </c>
      <c r="L295" t="s">
        <v>14</v>
      </c>
      <c r="M295" t="s">
        <v>66</v>
      </c>
      <c r="N295">
        <v>738.19</v>
      </c>
      <c r="O295" t="s">
        <v>74</v>
      </c>
      <c r="P295">
        <v>2024</v>
      </c>
      <c r="Q295">
        <f>IF(Nike_Sales_Cleaned[[#This Row],[Revenue]] = 0, 0, Nike_Sales_Cleaned[[#This Row],[Profit]]/Nike_Sales_Cleaned[[#This Row],[Revenue]])</f>
        <v>3.0708220529775981E-2</v>
      </c>
    </row>
    <row r="296" spans="1:17" x14ac:dyDescent="0.3">
      <c r="A296">
        <v>3486</v>
      </c>
      <c r="B296" t="s">
        <v>10</v>
      </c>
      <c r="C296" t="s">
        <v>11</v>
      </c>
      <c r="D296" t="s">
        <v>12</v>
      </c>
      <c r="E296" t="s">
        <v>22</v>
      </c>
      <c r="F296">
        <v>4</v>
      </c>
      <c r="G296">
        <v>5873.83</v>
      </c>
      <c r="H296">
        <v>0</v>
      </c>
      <c r="I296">
        <v>5872.83</v>
      </c>
      <c r="J296">
        <v>23491.32</v>
      </c>
      <c r="K296" s="1">
        <v>45579</v>
      </c>
      <c r="L296" t="s">
        <v>18</v>
      </c>
      <c r="M296" t="s">
        <v>65</v>
      </c>
      <c r="N296">
        <v>1451.77</v>
      </c>
      <c r="O296" t="s">
        <v>74</v>
      </c>
      <c r="P296">
        <v>2024</v>
      </c>
      <c r="Q296">
        <f>IF(Nike_Sales_Cleaned[[#This Row],[Revenue]] = 0, 0, Nike_Sales_Cleaned[[#This Row],[Profit]]/Nike_Sales_Cleaned[[#This Row],[Revenue]])</f>
        <v>6.1800273462708777E-2</v>
      </c>
    </row>
    <row r="297" spans="1:17" x14ac:dyDescent="0.3">
      <c r="A297">
        <v>3488</v>
      </c>
      <c r="B297" t="s">
        <v>15</v>
      </c>
      <c r="C297" t="s">
        <v>16</v>
      </c>
      <c r="D297" t="s">
        <v>17</v>
      </c>
      <c r="E297" t="s">
        <v>25</v>
      </c>
      <c r="F297">
        <v>4</v>
      </c>
      <c r="G297">
        <v>5234.1550000000007</v>
      </c>
      <c r="H297">
        <v>0</v>
      </c>
      <c r="I297">
        <v>5233.1550000000007</v>
      </c>
      <c r="J297">
        <v>20932.620000000003</v>
      </c>
      <c r="K297" s="1">
        <v>45728</v>
      </c>
      <c r="L297" t="s">
        <v>14</v>
      </c>
      <c r="M297" t="s">
        <v>66</v>
      </c>
      <c r="N297">
        <v>86.25</v>
      </c>
      <c r="O297" t="s">
        <v>74</v>
      </c>
      <c r="P297">
        <v>2025</v>
      </c>
      <c r="Q297">
        <f>IF(Nike_Sales_Cleaned[[#This Row],[Revenue]] = 0, 0, Nike_Sales_Cleaned[[#This Row],[Profit]]/Nike_Sales_Cleaned[[#This Row],[Revenue]])</f>
        <v>4.1203633372220005E-3</v>
      </c>
    </row>
    <row r="298" spans="1:17" x14ac:dyDescent="0.3">
      <c r="A298">
        <v>3489</v>
      </c>
      <c r="B298" t="s">
        <v>10</v>
      </c>
      <c r="C298" t="s">
        <v>23</v>
      </c>
      <c r="D298" t="s">
        <v>24</v>
      </c>
      <c r="E298" t="s">
        <v>49</v>
      </c>
      <c r="F298">
        <v>2</v>
      </c>
      <c r="G298">
        <v>7557.71</v>
      </c>
      <c r="H298">
        <v>0</v>
      </c>
      <c r="I298">
        <v>7556.71</v>
      </c>
      <c r="J298">
        <v>15113.42</v>
      </c>
      <c r="K298" s="1">
        <v>45751</v>
      </c>
      <c r="L298" t="s">
        <v>14</v>
      </c>
      <c r="M298" t="s">
        <v>63</v>
      </c>
      <c r="N298">
        <v>1734.72</v>
      </c>
      <c r="O298" t="s">
        <v>74</v>
      </c>
      <c r="P298">
        <v>2025</v>
      </c>
      <c r="Q298">
        <f>IF(Nike_Sales_Cleaned[[#This Row],[Revenue]] = 0, 0, Nike_Sales_Cleaned[[#This Row],[Profit]]/Nike_Sales_Cleaned[[#This Row],[Revenue]])</f>
        <v>0.11478010933329452</v>
      </c>
    </row>
    <row r="299" spans="1:17" x14ac:dyDescent="0.3">
      <c r="A299">
        <v>3496</v>
      </c>
      <c r="B299" t="s">
        <v>27</v>
      </c>
      <c r="C299" t="s">
        <v>23</v>
      </c>
      <c r="D299" t="s">
        <v>35</v>
      </c>
      <c r="E299" t="s">
        <v>13</v>
      </c>
      <c r="F299">
        <v>3</v>
      </c>
      <c r="G299">
        <v>5282.31</v>
      </c>
      <c r="H299">
        <v>0.77</v>
      </c>
      <c r="I299">
        <v>5282.0800000000008</v>
      </c>
      <c r="J299">
        <v>15846.240000000002</v>
      </c>
      <c r="K299" s="1">
        <v>45573</v>
      </c>
      <c r="L299" t="s">
        <v>18</v>
      </c>
      <c r="M299" t="s">
        <v>65</v>
      </c>
      <c r="N299">
        <v>-786.91</v>
      </c>
      <c r="O299" t="s">
        <v>75</v>
      </c>
      <c r="P299">
        <v>2024</v>
      </c>
      <c r="Q299">
        <f>IF(Nike_Sales_Cleaned[[#This Row],[Revenue]] = 0, 0, Nike_Sales_Cleaned[[#This Row],[Profit]]/Nike_Sales_Cleaned[[#This Row],[Revenue]])</f>
        <v>-4.9659098940821288E-2</v>
      </c>
    </row>
    <row r="300" spans="1:17" x14ac:dyDescent="0.3">
      <c r="A300">
        <v>3497</v>
      </c>
      <c r="B300" t="s">
        <v>15</v>
      </c>
      <c r="C300" t="s">
        <v>31</v>
      </c>
      <c r="D300" t="s">
        <v>39</v>
      </c>
      <c r="E300" t="s">
        <v>22</v>
      </c>
      <c r="F300">
        <v>2</v>
      </c>
      <c r="G300">
        <v>7845.46</v>
      </c>
      <c r="H300">
        <v>0</v>
      </c>
      <c r="I300">
        <v>7844.46</v>
      </c>
      <c r="J300">
        <v>15688.92</v>
      </c>
      <c r="K300" s="1">
        <v>45634</v>
      </c>
      <c r="L300" t="s">
        <v>14</v>
      </c>
      <c r="M300" t="s">
        <v>63</v>
      </c>
      <c r="N300">
        <v>1878.22</v>
      </c>
      <c r="O300" t="s">
        <v>74</v>
      </c>
      <c r="P300">
        <v>2024</v>
      </c>
      <c r="Q300">
        <f>IF(Nike_Sales_Cleaned[[#This Row],[Revenue]] = 0, 0, Nike_Sales_Cleaned[[#This Row],[Profit]]/Nike_Sales_Cleaned[[#This Row],[Revenue]])</f>
        <v>0.11971633484012921</v>
      </c>
    </row>
    <row r="301" spans="1:17" x14ac:dyDescent="0.3">
      <c r="A301">
        <v>3512</v>
      </c>
      <c r="B301" t="s">
        <v>10</v>
      </c>
      <c r="C301" t="s">
        <v>31</v>
      </c>
      <c r="D301" t="s">
        <v>39</v>
      </c>
      <c r="E301" t="s">
        <v>13</v>
      </c>
      <c r="F301">
        <v>4</v>
      </c>
      <c r="G301">
        <v>7845.46</v>
      </c>
      <c r="H301">
        <v>0.96</v>
      </c>
      <c r="I301">
        <v>7845.42</v>
      </c>
      <c r="J301">
        <v>31381.68</v>
      </c>
      <c r="K301" s="1">
        <v>45813</v>
      </c>
      <c r="L301" t="s">
        <v>18</v>
      </c>
      <c r="M301" t="s">
        <v>62</v>
      </c>
      <c r="N301">
        <v>2516.79</v>
      </c>
      <c r="O301" t="s">
        <v>75</v>
      </c>
      <c r="P301">
        <v>2025</v>
      </c>
      <c r="Q301">
        <f>IF(Nike_Sales_Cleaned[[#This Row],[Revenue]] = 0, 0, Nike_Sales_Cleaned[[#This Row],[Profit]]/Nike_Sales_Cleaned[[#This Row],[Revenue]])</f>
        <v>8.0199339232316438E-2</v>
      </c>
    </row>
    <row r="302" spans="1:17" x14ac:dyDescent="0.3">
      <c r="A302">
        <v>3529</v>
      </c>
      <c r="B302" t="s">
        <v>27</v>
      </c>
      <c r="C302" t="s">
        <v>11</v>
      </c>
      <c r="D302" t="s">
        <v>12</v>
      </c>
      <c r="E302" t="s">
        <v>22</v>
      </c>
      <c r="F302">
        <v>1</v>
      </c>
      <c r="G302">
        <v>5873.83</v>
      </c>
      <c r="H302">
        <v>0.2</v>
      </c>
      <c r="I302">
        <v>5873.03</v>
      </c>
      <c r="J302">
        <v>5873.03</v>
      </c>
      <c r="K302" s="1">
        <v>45744</v>
      </c>
      <c r="L302" t="s">
        <v>18</v>
      </c>
      <c r="M302" t="s">
        <v>65</v>
      </c>
      <c r="N302">
        <v>1448.77</v>
      </c>
      <c r="O302" t="s">
        <v>76</v>
      </c>
      <c r="P302">
        <v>2025</v>
      </c>
      <c r="Q302">
        <f>IF(Nike_Sales_Cleaned[[#This Row],[Revenue]] = 0, 0, Nike_Sales_Cleaned[[#This Row],[Profit]]/Nike_Sales_Cleaned[[#This Row],[Revenue]])</f>
        <v>0.24668186608956535</v>
      </c>
    </row>
    <row r="303" spans="1:17" x14ac:dyDescent="0.3">
      <c r="A303">
        <v>3545</v>
      </c>
      <c r="B303" t="s">
        <v>27</v>
      </c>
      <c r="C303" t="s">
        <v>11</v>
      </c>
      <c r="D303" t="s">
        <v>26</v>
      </c>
      <c r="E303" t="s">
        <v>40</v>
      </c>
      <c r="F303">
        <v>3</v>
      </c>
      <c r="G303">
        <v>5649.73</v>
      </c>
      <c r="H303">
        <v>0</v>
      </c>
      <c r="I303">
        <v>5648.73</v>
      </c>
      <c r="J303">
        <v>16946.189999999999</v>
      </c>
      <c r="K303" s="1">
        <v>45141</v>
      </c>
      <c r="L303" t="s">
        <v>14</v>
      </c>
      <c r="M303" t="s">
        <v>65</v>
      </c>
      <c r="N303">
        <v>2239.86</v>
      </c>
      <c r="O303" t="s">
        <v>74</v>
      </c>
      <c r="P303">
        <v>2023</v>
      </c>
      <c r="Q303">
        <f>IF(Nike_Sales_Cleaned[[#This Row],[Revenue]] = 0, 0, Nike_Sales_Cleaned[[#This Row],[Profit]]/Nike_Sales_Cleaned[[#This Row],[Revenue]])</f>
        <v>0.13217484284078015</v>
      </c>
    </row>
    <row r="304" spans="1:17" x14ac:dyDescent="0.3">
      <c r="A304">
        <v>3552</v>
      </c>
      <c r="B304" t="s">
        <v>27</v>
      </c>
      <c r="C304" t="s">
        <v>23</v>
      </c>
      <c r="D304" t="s">
        <v>24</v>
      </c>
      <c r="E304" t="s">
        <v>25</v>
      </c>
      <c r="F304">
        <v>4</v>
      </c>
      <c r="G304">
        <v>7557.71</v>
      </c>
      <c r="H304">
        <v>0</v>
      </c>
      <c r="I304">
        <v>7556.71</v>
      </c>
      <c r="J304">
        <v>30226.84</v>
      </c>
      <c r="K304" s="1">
        <v>45794</v>
      </c>
      <c r="L304" t="s">
        <v>18</v>
      </c>
      <c r="M304" t="s">
        <v>63</v>
      </c>
      <c r="N304">
        <v>762.95</v>
      </c>
      <c r="O304" t="s">
        <v>74</v>
      </c>
      <c r="P304">
        <v>2025</v>
      </c>
      <c r="Q304">
        <f>IF(Nike_Sales_Cleaned[[#This Row],[Revenue]] = 0, 0, Nike_Sales_Cleaned[[#This Row],[Profit]]/Nike_Sales_Cleaned[[#This Row],[Revenue]])</f>
        <v>2.5240812469977014E-2</v>
      </c>
    </row>
    <row r="305" spans="1:17" x14ac:dyDescent="0.3">
      <c r="A305">
        <v>3553</v>
      </c>
      <c r="B305" t="s">
        <v>15</v>
      </c>
      <c r="C305" t="s">
        <v>23</v>
      </c>
      <c r="D305" t="s">
        <v>35</v>
      </c>
      <c r="E305" t="s">
        <v>25</v>
      </c>
      <c r="F305">
        <v>2</v>
      </c>
      <c r="G305">
        <v>5282.31</v>
      </c>
      <c r="H305">
        <v>0</v>
      </c>
      <c r="I305">
        <v>5281.31</v>
      </c>
      <c r="J305">
        <v>10562.62</v>
      </c>
      <c r="K305" s="1">
        <v>45833</v>
      </c>
      <c r="L305" t="s">
        <v>14</v>
      </c>
      <c r="M305" t="s">
        <v>62</v>
      </c>
      <c r="N305">
        <v>-720.87</v>
      </c>
      <c r="O305" t="s">
        <v>74</v>
      </c>
      <c r="P305">
        <v>2025</v>
      </c>
      <c r="Q305">
        <f>IF(Nike_Sales_Cleaned[[#This Row],[Revenue]] = 0, 0, Nike_Sales_Cleaned[[#This Row],[Profit]]/Nike_Sales_Cleaned[[#This Row],[Revenue]])</f>
        <v>-6.8247271983655572E-2</v>
      </c>
    </row>
    <row r="306" spans="1:17" x14ac:dyDescent="0.3">
      <c r="A306">
        <v>3555</v>
      </c>
      <c r="B306" t="s">
        <v>10</v>
      </c>
      <c r="C306" t="s">
        <v>16</v>
      </c>
      <c r="D306" t="s">
        <v>42</v>
      </c>
      <c r="E306" t="s">
        <v>33</v>
      </c>
      <c r="F306">
        <v>2</v>
      </c>
      <c r="G306">
        <v>5940.3850000000002</v>
      </c>
      <c r="H306">
        <v>0</v>
      </c>
      <c r="I306">
        <v>5939.3850000000002</v>
      </c>
      <c r="J306">
        <v>11878.77</v>
      </c>
      <c r="K306" s="1">
        <v>45773</v>
      </c>
      <c r="L306" t="s">
        <v>18</v>
      </c>
      <c r="M306" t="s">
        <v>61</v>
      </c>
      <c r="N306">
        <v>-1069.25</v>
      </c>
      <c r="O306" t="s">
        <v>74</v>
      </c>
      <c r="P306">
        <v>2025</v>
      </c>
      <c r="Q306">
        <f>IF(Nike_Sales_Cleaned[[#This Row],[Revenue]] = 0, 0, Nike_Sales_Cleaned[[#This Row],[Profit]]/Nike_Sales_Cleaned[[#This Row],[Revenue]])</f>
        <v>-9.0013528336688048E-2</v>
      </c>
    </row>
    <row r="307" spans="1:17" x14ac:dyDescent="0.3">
      <c r="A307">
        <v>3556</v>
      </c>
      <c r="B307" t="s">
        <v>15</v>
      </c>
      <c r="C307" t="s">
        <v>31</v>
      </c>
      <c r="D307" t="s">
        <v>38</v>
      </c>
      <c r="E307" t="s">
        <v>13</v>
      </c>
      <c r="F307">
        <v>4</v>
      </c>
      <c r="G307">
        <v>5117.8649999999998</v>
      </c>
      <c r="H307">
        <v>0</v>
      </c>
      <c r="I307">
        <v>5116.8649999999998</v>
      </c>
      <c r="J307">
        <v>20467.46</v>
      </c>
      <c r="K307" s="1">
        <v>45729</v>
      </c>
      <c r="L307" t="s">
        <v>18</v>
      </c>
      <c r="M307" t="s">
        <v>66</v>
      </c>
      <c r="N307">
        <v>-843.61</v>
      </c>
      <c r="O307" t="s">
        <v>74</v>
      </c>
      <c r="P307">
        <v>2025</v>
      </c>
      <c r="Q307">
        <f>IF(Nike_Sales_Cleaned[[#This Row],[Revenue]] = 0, 0, Nike_Sales_Cleaned[[#This Row],[Profit]]/Nike_Sales_Cleaned[[#This Row],[Revenue]])</f>
        <v>-4.1217131974363212E-2</v>
      </c>
    </row>
    <row r="308" spans="1:17" x14ac:dyDescent="0.3">
      <c r="A308">
        <v>3557</v>
      </c>
      <c r="B308" t="s">
        <v>10</v>
      </c>
      <c r="C308" t="s">
        <v>31</v>
      </c>
      <c r="D308" t="s">
        <v>32</v>
      </c>
      <c r="E308" t="s">
        <v>22</v>
      </c>
      <c r="F308">
        <v>1</v>
      </c>
      <c r="G308">
        <v>5981.92</v>
      </c>
      <c r="H308">
        <v>0.66</v>
      </c>
      <c r="I308">
        <v>5981.58</v>
      </c>
      <c r="J308">
        <v>5981.58</v>
      </c>
      <c r="K308" s="1">
        <v>45513</v>
      </c>
      <c r="L308" t="s">
        <v>18</v>
      </c>
      <c r="M308" t="s">
        <v>61</v>
      </c>
      <c r="N308">
        <v>-884.81</v>
      </c>
      <c r="O308" t="s">
        <v>75</v>
      </c>
      <c r="P308">
        <v>2024</v>
      </c>
      <c r="Q308">
        <f>IF(Nike_Sales_Cleaned[[#This Row],[Revenue]] = 0, 0, Nike_Sales_Cleaned[[#This Row],[Profit]]/Nike_Sales_Cleaned[[#This Row],[Revenue]])</f>
        <v>-0.14792245527101533</v>
      </c>
    </row>
    <row r="309" spans="1:17" x14ac:dyDescent="0.3">
      <c r="A309">
        <v>3558</v>
      </c>
      <c r="B309" t="s">
        <v>15</v>
      </c>
      <c r="C309" t="s">
        <v>11</v>
      </c>
      <c r="D309" t="s">
        <v>26</v>
      </c>
      <c r="E309" t="s">
        <v>22</v>
      </c>
      <c r="F309">
        <v>4</v>
      </c>
      <c r="G309">
        <v>5649.73</v>
      </c>
      <c r="H309">
        <v>0</v>
      </c>
      <c r="I309">
        <v>5648.73</v>
      </c>
      <c r="J309">
        <v>22594.92</v>
      </c>
      <c r="K309" s="1">
        <v>45534</v>
      </c>
      <c r="L309" t="s">
        <v>14</v>
      </c>
      <c r="M309" t="s">
        <v>63</v>
      </c>
      <c r="N309">
        <v>-113.44</v>
      </c>
      <c r="O309" t="s">
        <v>74</v>
      </c>
      <c r="P309">
        <v>2024</v>
      </c>
      <c r="Q309">
        <f>IF(Nike_Sales_Cleaned[[#This Row],[Revenue]] = 0, 0, Nike_Sales_Cleaned[[#This Row],[Profit]]/Nike_Sales_Cleaned[[#This Row],[Revenue]])</f>
        <v>-5.020597550245808E-3</v>
      </c>
    </row>
    <row r="310" spans="1:17" x14ac:dyDescent="0.3">
      <c r="A310">
        <v>3576</v>
      </c>
      <c r="B310" t="s">
        <v>15</v>
      </c>
      <c r="C310" t="s">
        <v>20</v>
      </c>
      <c r="D310" t="s">
        <v>30</v>
      </c>
      <c r="E310" t="s">
        <v>13</v>
      </c>
      <c r="F310">
        <v>2</v>
      </c>
      <c r="G310">
        <v>6216.29</v>
      </c>
      <c r="H310">
        <v>0</v>
      </c>
      <c r="I310">
        <v>6215.29</v>
      </c>
      <c r="J310">
        <v>12430.58</v>
      </c>
      <c r="K310" s="1">
        <v>45368</v>
      </c>
      <c r="L310" t="s">
        <v>18</v>
      </c>
      <c r="M310" t="s">
        <v>64</v>
      </c>
      <c r="N310">
        <v>-586.23</v>
      </c>
      <c r="O310" t="s">
        <v>74</v>
      </c>
      <c r="P310">
        <v>2024</v>
      </c>
      <c r="Q310">
        <f>IF(Nike_Sales_Cleaned[[#This Row],[Revenue]] = 0, 0, Nike_Sales_Cleaned[[#This Row],[Profit]]/Nike_Sales_Cleaned[[#This Row],[Revenue]])</f>
        <v>-4.7160309494810378E-2</v>
      </c>
    </row>
    <row r="311" spans="1:17" x14ac:dyDescent="0.3">
      <c r="A311">
        <v>3581</v>
      </c>
      <c r="B311" t="s">
        <v>15</v>
      </c>
      <c r="C311" t="s">
        <v>16</v>
      </c>
      <c r="D311" t="s">
        <v>42</v>
      </c>
      <c r="E311" t="s">
        <v>22</v>
      </c>
      <c r="F311">
        <v>4</v>
      </c>
      <c r="G311">
        <v>5940.3850000000002</v>
      </c>
      <c r="H311">
        <v>0</v>
      </c>
      <c r="I311">
        <v>5939.3850000000002</v>
      </c>
      <c r="J311">
        <v>23757.54</v>
      </c>
      <c r="K311" s="1">
        <v>45649</v>
      </c>
      <c r="L311" t="s">
        <v>18</v>
      </c>
      <c r="M311" t="s">
        <v>66</v>
      </c>
      <c r="N311">
        <v>2178.0500000000002</v>
      </c>
      <c r="O311" t="s">
        <v>74</v>
      </c>
      <c r="P311">
        <v>2024</v>
      </c>
      <c r="Q311">
        <f>IF(Nike_Sales_Cleaned[[#This Row],[Revenue]] = 0, 0, Nike_Sales_Cleaned[[#This Row],[Profit]]/Nike_Sales_Cleaned[[#This Row],[Revenue]])</f>
        <v>9.1678262985140715E-2</v>
      </c>
    </row>
    <row r="312" spans="1:17" x14ac:dyDescent="0.3">
      <c r="A312">
        <v>3596</v>
      </c>
      <c r="B312" t="s">
        <v>27</v>
      </c>
      <c r="C312" t="s">
        <v>11</v>
      </c>
      <c r="D312" t="s">
        <v>34</v>
      </c>
      <c r="E312" t="s">
        <v>49</v>
      </c>
      <c r="F312">
        <v>2</v>
      </c>
      <c r="G312">
        <v>6186.9950000000008</v>
      </c>
      <c r="H312">
        <v>0</v>
      </c>
      <c r="I312">
        <v>6185.9950000000008</v>
      </c>
      <c r="J312">
        <v>12371.990000000002</v>
      </c>
      <c r="K312" s="1">
        <v>45818</v>
      </c>
      <c r="L312" t="s">
        <v>14</v>
      </c>
      <c r="M312" t="s">
        <v>62</v>
      </c>
      <c r="N312">
        <v>-66.97</v>
      </c>
      <c r="O312" t="s">
        <v>74</v>
      </c>
      <c r="P312">
        <v>2025</v>
      </c>
      <c r="Q312">
        <f>IF(Nike_Sales_Cleaned[[#This Row],[Revenue]] = 0, 0, Nike_Sales_Cleaned[[#This Row],[Profit]]/Nike_Sales_Cleaned[[#This Row],[Revenue]])</f>
        <v>-5.4130337965032291E-3</v>
      </c>
    </row>
    <row r="313" spans="1:17" x14ac:dyDescent="0.3">
      <c r="A313">
        <v>3605</v>
      </c>
      <c r="B313" t="s">
        <v>27</v>
      </c>
      <c r="C313" t="s">
        <v>16</v>
      </c>
      <c r="D313" t="s">
        <v>42</v>
      </c>
      <c r="E313" t="s">
        <v>13</v>
      </c>
      <c r="F313">
        <v>2</v>
      </c>
      <c r="G313">
        <v>5940.3850000000002</v>
      </c>
      <c r="H313">
        <v>0</v>
      </c>
      <c r="I313">
        <v>5939.3850000000002</v>
      </c>
      <c r="J313">
        <v>11878.77</v>
      </c>
      <c r="K313" s="1">
        <v>45666</v>
      </c>
      <c r="L313" t="s">
        <v>14</v>
      </c>
      <c r="M313" t="s">
        <v>61</v>
      </c>
      <c r="N313">
        <v>1627.87</v>
      </c>
      <c r="O313" t="s">
        <v>74</v>
      </c>
      <c r="P313">
        <v>2025</v>
      </c>
      <c r="Q313">
        <f>IF(Nike_Sales_Cleaned[[#This Row],[Revenue]] = 0, 0, Nike_Sales_Cleaned[[#This Row],[Profit]]/Nike_Sales_Cleaned[[#This Row],[Revenue]])</f>
        <v>0.13704028279022154</v>
      </c>
    </row>
    <row r="314" spans="1:17" x14ac:dyDescent="0.3">
      <c r="A314">
        <v>3606</v>
      </c>
      <c r="B314" t="s">
        <v>15</v>
      </c>
      <c r="C314" t="s">
        <v>31</v>
      </c>
      <c r="D314" t="s">
        <v>48</v>
      </c>
      <c r="E314" t="s">
        <v>25</v>
      </c>
      <c r="F314">
        <v>3</v>
      </c>
      <c r="G314">
        <v>5355.64</v>
      </c>
      <c r="H314">
        <v>0</v>
      </c>
      <c r="I314">
        <v>5354.64</v>
      </c>
      <c r="J314">
        <v>16063.920000000002</v>
      </c>
      <c r="K314" s="1">
        <v>45702</v>
      </c>
      <c r="L314" t="s">
        <v>18</v>
      </c>
      <c r="M314" t="s">
        <v>62</v>
      </c>
      <c r="N314">
        <v>-511.49</v>
      </c>
      <c r="O314" t="s">
        <v>74</v>
      </c>
      <c r="P314">
        <v>2025</v>
      </c>
      <c r="Q314">
        <f>IF(Nike_Sales_Cleaned[[#This Row],[Revenue]] = 0, 0, Nike_Sales_Cleaned[[#This Row],[Profit]]/Nike_Sales_Cleaned[[#This Row],[Revenue]])</f>
        <v>-3.1840920522512556E-2</v>
      </c>
    </row>
    <row r="315" spans="1:17" x14ac:dyDescent="0.3">
      <c r="A315">
        <v>3610</v>
      </c>
      <c r="B315" t="s">
        <v>10</v>
      </c>
      <c r="C315" t="s">
        <v>20</v>
      </c>
      <c r="D315" t="s">
        <v>45</v>
      </c>
      <c r="E315" t="s">
        <v>28</v>
      </c>
      <c r="F315">
        <v>2</v>
      </c>
      <c r="G315">
        <v>6202.99</v>
      </c>
      <c r="H315">
        <v>0.64</v>
      </c>
      <c r="I315">
        <v>6202.63</v>
      </c>
      <c r="J315">
        <v>12405.26</v>
      </c>
      <c r="K315" s="1">
        <v>45730</v>
      </c>
      <c r="L315" t="s">
        <v>14</v>
      </c>
      <c r="M315" t="s">
        <v>66</v>
      </c>
      <c r="N315">
        <v>-336.38</v>
      </c>
      <c r="O315" t="s">
        <v>75</v>
      </c>
      <c r="P315">
        <v>2025</v>
      </c>
      <c r="Q315">
        <f>IF(Nike_Sales_Cleaned[[#This Row],[Revenue]] = 0, 0, Nike_Sales_Cleaned[[#This Row],[Profit]]/Nike_Sales_Cleaned[[#This Row],[Revenue]])</f>
        <v>-2.7115916957806609E-2</v>
      </c>
    </row>
    <row r="316" spans="1:17" x14ac:dyDescent="0.3">
      <c r="A316">
        <v>3612</v>
      </c>
      <c r="B316" t="s">
        <v>15</v>
      </c>
      <c r="C316" t="s">
        <v>23</v>
      </c>
      <c r="D316" t="s">
        <v>35</v>
      </c>
      <c r="E316" t="s">
        <v>25</v>
      </c>
      <c r="F316">
        <v>1</v>
      </c>
      <c r="G316">
        <v>5282.31</v>
      </c>
      <c r="H316">
        <v>0</v>
      </c>
      <c r="I316">
        <v>5281.31</v>
      </c>
      <c r="J316">
        <v>5281.31</v>
      </c>
      <c r="K316" s="1">
        <v>45830</v>
      </c>
      <c r="L316" t="s">
        <v>14</v>
      </c>
      <c r="M316" t="s">
        <v>63</v>
      </c>
      <c r="N316">
        <v>2397.42</v>
      </c>
      <c r="O316" t="s">
        <v>74</v>
      </c>
      <c r="P316">
        <v>2025</v>
      </c>
      <c r="Q316">
        <f>IF(Nike_Sales_Cleaned[[#This Row],[Revenue]] = 0, 0, Nike_Sales_Cleaned[[#This Row],[Profit]]/Nike_Sales_Cleaned[[#This Row],[Revenue]])</f>
        <v>0.45394419187663665</v>
      </c>
    </row>
    <row r="317" spans="1:17" x14ac:dyDescent="0.3">
      <c r="A317">
        <v>3613</v>
      </c>
      <c r="B317" t="s">
        <v>27</v>
      </c>
      <c r="C317" t="s">
        <v>20</v>
      </c>
      <c r="D317" t="s">
        <v>21</v>
      </c>
      <c r="E317" t="s">
        <v>25</v>
      </c>
      <c r="F317">
        <v>4</v>
      </c>
      <c r="G317">
        <v>4904.79</v>
      </c>
      <c r="H317">
        <v>0</v>
      </c>
      <c r="I317">
        <v>4903.79</v>
      </c>
      <c r="J317">
        <v>19615.16</v>
      </c>
      <c r="K317" s="1">
        <v>45520</v>
      </c>
      <c r="L317" t="s">
        <v>14</v>
      </c>
      <c r="M317" t="s">
        <v>61</v>
      </c>
      <c r="N317">
        <v>2136.73</v>
      </c>
      <c r="O317" t="s">
        <v>74</v>
      </c>
      <c r="P317">
        <v>2024</v>
      </c>
      <c r="Q317">
        <f>IF(Nike_Sales_Cleaned[[#This Row],[Revenue]] = 0, 0, Nike_Sales_Cleaned[[#This Row],[Profit]]/Nike_Sales_Cleaned[[#This Row],[Revenue]])</f>
        <v>0.10893258071817921</v>
      </c>
    </row>
    <row r="318" spans="1:17" x14ac:dyDescent="0.3">
      <c r="A318">
        <v>3616</v>
      </c>
      <c r="B318" t="s">
        <v>10</v>
      </c>
      <c r="C318" t="s">
        <v>20</v>
      </c>
      <c r="D318" t="s">
        <v>21</v>
      </c>
      <c r="E318" t="s">
        <v>22</v>
      </c>
      <c r="F318">
        <v>1</v>
      </c>
      <c r="G318">
        <v>4904.79</v>
      </c>
      <c r="H318">
        <v>0</v>
      </c>
      <c r="I318">
        <v>4903.79</v>
      </c>
      <c r="J318">
        <v>4903.79</v>
      </c>
      <c r="K318" s="1">
        <v>45839</v>
      </c>
      <c r="L318" t="s">
        <v>18</v>
      </c>
      <c r="M318" t="s">
        <v>66</v>
      </c>
      <c r="N318">
        <v>3969.15</v>
      </c>
      <c r="O318" t="s">
        <v>74</v>
      </c>
      <c r="P318">
        <v>2025</v>
      </c>
      <c r="Q318">
        <f>IF(Nike_Sales_Cleaned[[#This Row],[Revenue]] = 0, 0, Nike_Sales_Cleaned[[#This Row],[Profit]]/Nike_Sales_Cleaned[[#This Row],[Revenue]])</f>
        <v>0.80940456259342264</v>
      </c>
    </row>
    <row r="319" spans="1:17" x14ac:dyDescent="0.3">
      <c r="A319">
        <v>3617</v>
      </c>
      <c r="B319" t="s">
        <v>27</v>
      </c>
      <c r="C319" t="s">
        <v>16</v>
      </c>
      <c r="D319" t="s">
        <v>19</v>
      </c>
      <c r="E319" t="s">
        <v>33</v>
      </c>
      <c r="F319">
        <v>2</v>
      </c>
      <c r="G319">
        <v>5178.83</v>
      </c>
      <c r="H319">
        <v>0</v>
      </c>
      <c r="I319">
        <v>5177.83</v>
      </c>
      <c r="J319">
        <v>10355.66</v>
      </c>
      <c r="K319" s="1">
        <v>45616</v>
      </c>
      <c r="L319" t="s">
        <v>14</v>
      </c>
      <c r="M319" t="s">
        <v>63</v>
      </c>
      <c r="N319">
        <v>2406.4699999999998</v>
      </c>
      <c r="O319" t="s">
        <v>74</v>
      </c>
      <c r="P319">
        <v>2024</v>
      </c>
      <c r="Q319">
        <f>IF(Nike_Sales_Cleaned[[#This Row],[Revenue]] = 0, 0, Nike_Sales_Cleaned[[#This Row],[Profit]]/Nike_Sales_Cleaned[[#This Row],[Revenue]])</f>
        <v>0.23238209829214168</v>
      </c>
    </row>
    <row r="320" spans="1:17" x14ac:dyDescent="0.3">
      <c r="A320">
        <v>3618</v>
      </c>
      <c r="B320" t="s">
        <v>27</v>
      </c>
      <c r="C320" t="s">
        <v>16</v>
      </c>
      <c r="D320" t="s">
        <v>29</v>
      </c>
      <c r="E320" t="s">
        <v>33</v>
      </c>
      <c r="F320">
        <v>3</v>
      </c>
      <c r="G320">
        <v>6880.21</v>
      </c>
      <c r="H320">
        <v>0</v>
      </c>
      <c r="I320">
        <v>6879.21</v>
      </c>
      <c r="J320">
        <v>20637.63</v>
      </c>
      <c r="K320" s="1">
        <v>45823</v>
      </c>
      <c r="L320" t="s">
        <v>18</v>
      </c>
      <c r="M320" t="s">
        <v>66</v>
      </c>
      <c r="N320">
        <v>932.04</v>
      </c>
      <c r="O320" t="s">
        <v>74</v>
      </c>
      <c r="P320">
        <v>2025</v>
      </c>
      <c r="Q320">
        <f>IF(Nike_Sales_Cleaned[[#This Row],[Revenue]] = 0, 0, Nike_Sales_Cleaned[[#This Row],[Profit]]/Nike_Sales_Cleaned[[#This Row],[Revenue]])</f>
        <v>4.5162162515753987E-2</v>
      </c>
    </row>
    <row r="321" spans="1:17" x14ac:dyDescent="0.3">
      <c r="A321">
        <v>3622</v>
      </c>
      <c r="B321" t="s">
        <v>15</v>
      </c>
      <c r="C321" t="s">
        <v>16</v>
      </c>
      <c r="D321" t="s">
        <v>19</v>
      </c>
      <c r="E321" t="s">
        <v>49</v>
      </c>
      <c r="F321">
        <v>3</v>
      </c>
      <c r="G321">
        <v>5178.83</v>
      </c>
      <c r="H321">
        <v>0</v>
      </c>
      <c r="I321">
        <v>5177.83</v>
      </c>
      <c r="J321">
        <v>15533.49</v>
      </c>
      <c r="K321" s="1">
        <v>45557</v>
      </c>
      <c r="L321" t="s">
        <v>14</v>
      </c>
      <c r="M321" t="s">
        <v>61</v>
      </c>
      <c r="N321">
        <v>1951.56</v>
      </c>
      <c r="O321" t="s">
        <v>74</v>
      </c>
      <c r="P321">
        <v>2024</v>
      </c>
      <c r="Q321">
        <f>IF(Nike_Sales_Cleaned[[#This Row],[Revenue]] = 0, 0, Nike_Sales_Cleaned[[#This Row],[Profit]]/Nike_Sales_Cleaned[[#This Row],[Revenue]])</f>
        <v>0.12563564273064198</v>
      </c>
    </row>
    <row r="322" spans="1:17" x14ac:dyDescent="0.3">
      <c r="A322">
        <v>3635</v>
      </c>
      <c r="B322" t="s">
        <v>27</v>
      </c>
      <c r="C322" t="s">
        <v>11</v>
      </c>
      <c r="D322" t="s">
        <v>12</v>
      </c>
      <c r="E322" t="s">
        <v>13</v>
      </c>
      <c r="F322">
        <v>2</v>
      </c>
      <c r="G322">
        <v>5873.83</v>
      </c>
      <c r="H322">
        <v>0</v>
      </c>
      <c r="I322">
        <v>5872.83</v>
      </c>
      <c r="J322">
        <v>11745.66</v>
      </c>
      <c r="K322" s="1">
        <v>45738</v>
      </c>
      <c r="L322" t="s">
        <v>18</v>
      </c>
      <c r="M322" t="s">
        <v>64</v>
      </c>
      <c r="N322">
        <v>3656.45</v>
      </c>
      <c r="O322" t="s">
        <v>74</v>
      </c>
      <c r="P322">
        <v>2025</v>
      </c>
      <c r="Q322">
        <f>IF(Nike_Sales_Cleaned[[#This Row],[Revenue]] = 0, 0, Nike_Sales_Cleaned[[#This Row],[Profit]]/Nike_Sales_Cleaned[[#This Row],[Revenue]])</f>
        <v>0.3113022171593593</v>
      </c>
    </row>
    <row r="323" spans="1:17" x14ac:dyDescent="0.3">
      <c r="A323">
        <v>3636</v>
      </c>
      <c r="B323" t="s">
        <v>15</v>
      </c>
      <c r="C323" t="s">
        <v>16</v>
      </c>
      <c r="D323" t="s">
        <v>17</v>
      </c>
      <c r="E323" t="s">
        <v>13</v>
      </c>
      <c r="F323">
        <v>2</v>
      </c>
      <c r="G323">
        <v>5234.1550000000007</v>
      </c>
      <c r="H323">
        <v>0</v>
      </c>
      <c r="I323">
        <v>5233.1550000000007</v>
      </c>
      <c r="J323">
        <v>10466.310000000001</v>
      </c>
      <c r="K323" s="1">
        <v>45279</v>
      </c>
      <c r="L323" t="s">
        <v>18</v>
      </c>
      <c r="M323" t="s">
        <v>65</v>
      </c>
      <c r="N323">
        <v>2615.73</v>
      </c>
      <c r="O323" t="s">
        <v>74</v>
      </c>
      <c r="P323">
        <v>2023</v>
      </c>
      <c r="Q323">
        <f>IF(Nike_Sales_Cleaned[[#This Row],[Revenue]] = 0, 0, Nike_Sales_Cleaned[[#This Row],[Profit]]/Nike_Sales_Cleaned[[#This Row],[Revenue]])</f>
        <v>0.24991902590311196</v>
      </c>
    </row>
    <row r="324" spans="1:17" x14ac:dyDescent="0.3">
      <c r="A324">
        <v>3637</v>
      </c>
      <c r="B324" t="s">
        <v>15</v>
      </c>
      <c r="C324" t="s">
        <v>23</v>
      </c>
      <c r="D324" t="s">
        <v>43</v>
      </c>
      <c r="E324" t="s">
        <v>36</v>
      </c>
      <c r="F324">
        <v>2</v>
      </c>
      <c r="G324">
        <v>6577.39</v>
      </c>
      <c r="H324">
        <v>0</v>
      </c>
      <c r="I324">
        <v>6576.39</v>
      </c>
      <c r="J324">
        <v>13152.78</v>
      </c>
      <c r="K324" s="1">
        <v>45806</v>
      </c>
      <c r="L324" t="s">
        <v>18</v>
      </c>
      <c r="M324" t="s">
        <v>65</v>
      </c>
      <c r="N324">
        <v>1945.9</v>
      </c>
      <c r="O324" t="s">
        <v>74</v>
      </c>
      <c r="P324">
        <v>2025</v>
      </c>
      <c r="Q324">
        <f>IF(Nike_Sales_Cleaned[[#This Row],[Revenue]] = 0, 0, Nike_Sales_Cleaned[[#This Row],[Profit]]/Nike_Sales_Cleaned[[#This Row],[Revenue]])</f>
        <v>0.14794590953395403</v>
      </c>
    </row>
    <row r="325" spans="1:17" x14ac:dyDescent="0.3">
      <c r="A325">
        <v>3646</v>
      </c>
      <c r="B325" t="s">
        <v>27</v>
      </c>
      <c r="C325" t="s">
        <v>11</v>
      </c>
      <c r="D325" t="s">
        <v>26</v>
      </c>
      <c r="E325" t="s">
        <v>25</v>
      </c>
      <c r="F325">
        <v>3</v>
      </c>
      <c r="G325">
        <v>5649.73</v>
      </c>
      <c r="H325">
        <v>0</v>
      </c>
      <c r="I325">
        <v>5648.73</v>
      </c>
      <c r="J325">
        <v>16946.189999999999</v>
      </c>
      <c r="K325" s="1">
        <v>45768</v>
      </c>
      <c r="L325" t="s">
        <v>14</v>
      </c>
      <c r="M325" t="s">
        <v>64</v>
      </c>
      <c r="N325">
        <v>2873.66</v>
      </c>
      <c r="O325" t="s">
        <v>74</v>
      </c>
      <c r="P325">
        <v>2025</v>
      </c>
      <c r="Q325">
        <f>IF(Nike_Sales_Cleaned[[#This Row],[Revenue]] = 0, 0, Nike_Sales_Cleaned[[#This Row],[Profit]]/Nike_Sales_Cleaned[[#This Row],[Revenue]])</f>
        <v>0.16957558011564841</v>
      </c>
    </row>
    <row r="326" spans="1:17" x14ac:dyDescent="0.3">
      <c r="A326">
        <v>3654</v>
      </c>
      <c r="B326" t="s">
        <v>15</v>
      </c>
      <c r="C326" t="s">
        <v>11</v>
      </c>
      <c r="D326" t="s">
        <v>34</v>
      </c>
      <c r="E326" t="s">
        <v>22</v>
      </c>
      <c r="F326">
        <v>3</v>
      </c>
      <c r="G326">
        <v>6186.9950000000008</v>
      </c>
      <c r="H326">
        <v>0</v>
      </c>
      <c r="I326">
        <v>6185.9950000000008</v>
      </c>
      <c r="J326">
        <v>18557.985000000001</v>
      </c>
      <c r="K326" s="1">
        <v>45545</v>
      </c>
      <c r="L326" t="s">
        <v>18</v>
      </c>
      <c r="M326" t="s">
        <v>62</v>
      </c>
      <c r="N326">
        <v>2395.7399999999998</v>
      </c>
      <c r="O326" t="s">
        <v>74</v>
      </c>
      <c r="P326">
        <v>2024</v>
      </c>
      <c r="Q326">
        <f>IF(Nike_Sales_Cleaned[[#This Row],[Revenue]] = 0, 0, Nike_Sales_Cleaned[[#This Row],[Profit]]/Nike_Sales_Cleaned[[#This Row],[Revenue]])</f>
        <v>0.12909483437991784</v>
      </c>
    </row>
    <row r="327" spans="1:17" x14ac:dyDescent="0.3">
      <c r="A327">
        <v>3656</v>
      </c>
      <c r="B327" t="s">
        <v>27</v>
      </c>
      <c r="C327" t="s">
        <v>20</v>
      </c>
      <c r="D327" t="s">
        <v>30</v>
      </c>
      <c r="E327" t="s">
        <v>22</v>
      </c>
      <c r="F327">
        <v>4</v>
      </c>
      <c r="G327">
        <v>6216.29</v>
      </c>
      <c r="H327">
        <v>0</v>
      </c>
      <c r="I327">
        <v>6215.29</v>
      </c>
      <c r="J327">
        <v>24861.16</v>
      </c>
      <c r="K327" s="1">
        <v>45819</v>
      </c>
      <c r="L327" t="s">
        <v>18</v>
      </c>
      <c r="M327" t="s">
        <v>62</v>
      </c>
      <c r="N327">
        <v>3421.81</v>
      </c>
      <c r="O327" t="s">
        <v>74</v>
      </c>
      <c r="P327">
        <v>2025</v>
      </c>
      <c r="Q327">
        <f>IF(Nike_Sales_Cleaned[[#This Row],[Revenue]] = 0, 0, Nike_Sales_Cleaned[[#This Row],[Profit]]/Nike_Sales_Cleaned[[#This Row],[Revenue]])</f>
        <v>0.13763677961929371</v>
      </c>
    </row>
    <row r="328" spans="1:17" x14ac:dyDescent="0.3">
      <c r="A328">
        <v>3668</v>
      </c>
      <c r="B328" t="s">
        <v>10</v>
      </c>
      <c r="C328" t="s">
        <v>16</v>
      </c>
      <c r="D328" t="s">
        <v>19</v>
      </c>
      <c r="E328" t="s">
        <v>25</v>
      </c>
      <c r="F328">
        <v>1</v>
      </c>
      <c r="G328">
        <v>5178.83</v>
      </c>
      <c r="H328">
        <v>0</v>
      </c>
      <c r="I328">
        <v>5177.83</v>
      </c>
      <c r="J328">
        <v>5177.83</v>
      </c>
      <c r="K328" s="1">
        <v>45592</v>
      </c>
      <c r="L328" t="s">
        <v>18</v>
      </c>
      <c r="M328" t="s">
        <v>63</v>
      </c>
      <c r="N328">
        <v>795.86</v>
      </c>
      <c r="O328" t="s">
        <v>74</v>
      </c>
      <c r="P328">
        <v>2024</v>
      </c>
      <c r="Q328">
        <f>IF(Nike_Sales_Cleaned[[#This Row],[Revenue]] = 0, 0, Nike_Sales_Cleaned[[#This Row],[Profit]]/Nike_Sales_Cleaned[[#This Row],[Revenue]])</f>
        <v>0.15370531670603324</v>
      </c>
    </row>
    <row r="329" spans="1:17" x14ac:dyDescent="0.3">
      <c r="A329">
        <v>3672</v>
      </c>
      <c r="B329" t="s">
        <v>15</v>
      </c>
      <c r="C329" t="s">
        <v>16</v>
      </c>
      <c r="D329" t="s">
        <v>17</v>
      </c>
      <c r="E329" t="s">
        <v>44</v>
      </c>
      <c r="F329">
        <v>3</v>
      </c>
      <c r="G329">
        <v>5234.1550000000007</v>
      </c>
      <c r="H329">
        <v>0.32</v>
      </c>
      <c r="I329">
        <v>5233.4750000000004</v>
      </c>
      <c r="J329">
        <v>15700.425000000001</v>
      </c>
      <c r="K329" s="1">
        <v>45520</v>
      </c>
      <c r="L329" t="s">
        <v>14</v>
      </c>
      <c r="M329" t="s">
        <v>65</v>
      </c>
      <c r="N329">
        <v>2651.63</v>
      </c>
      <c r="O329" t="s">
        <v>77</v>
      </c>
      <c r="P329">
        <v>2024</v>
      </c>
      <c r="Q329">
        <f>IF(Nike_Sales_Cleaned[[#This Row],[Revenue]] = 0, 0, Nike_Sales_Cleaned[[#This Row],[Profit]]/Nike_Sales_Cleaned[[#This Row],[Revenue]])</f>
        <v>0.16888905873567117</v>
      </c>
    </row>
    <row r="330" spans="1:17" x14ac:dyDescent="0.3">
      <c r="A330">
        <v>3675</v>
      </c>
      <c r="B330" t="s">
        <v>27</v>
      </c>
      <c r="C330" t="s">
        <v>23</v>
      </c>
      <c r="D330" t="s">
        <v>43</v>
      </c>
      <c r="E330" t="s">
        <v>33</v>
      </c>
      <c r="F330">
        <v>2</v>
      </c>
      <c r="G330">
        <v>6577.39</v>
      </c>
      <c r="H330">
        <v>0</v>
      </c>
      <c r="I330">
        <v>6576.39</v>
      </c>
      <c r="J330">
        <v>13152.78</v>
      </c>
      <c r="K330" s="1">
        <v>45609</v>
      </c>
      <c r="L330" t="s">
        <v>14</v>
      </c>
      <c r="M330" t="s">
        <v>65</v>
      </c>
      <c r="N330">
        <v>3969.03</v>
      </c>
      <c r="O330" t="s">
        <v>74</v>
      </c>
      <c r="P330">
        <v>2024</v>
      </c>
      <c r="Q330">
        <f>IF(Nike_Sales_Cleaned[[#This Row],[Revenue]] = 0, 0, Nike_Sales_Cleaned[[#This Row],[Profit]]/Nike_Sales_Cleaned[[#This Row],[Revenue]])</f>
        <v>0.30176358153941601</v>
      </c>
    </row>
    <row r="331" spans="1:17" x14ac:dyDescent="0.3">
      <c r="A331">
        <v>3678</v>
      </c>
      <c r="B331" t="s">
        <v>15</v>
      </c>
      <c r="C331" t="s">
        <v>20</v>
      </c>
      <c r="D331" t="s">
        <v>30</v>
      </c>
      <c r="E331" t="s">
        <v>46</v>
      </c>
      <c r="F331">
        <v>3</v>
      </c>
      <c r="G331">
        <v>6216.29</v>
      </c>
      <c r="H331">
        <v>0</v>
      </c>
      <c r="I331">
        <v>6215.29</v>
      </c>
      <c r="J331">
        <v>18645.87</v>
      </c>
      <c r="K331" s="1">
        <v>45518</v>
      </c>
      <c r="L331" t="s">
        <v>14</v>
      </c>
      <c r="M331" t="s">
        <v>66</v>
      </c>
      <c r="N331">
        <v>1488.91</v>
      </c>
      <c r="O331" t="s">
        <v>74</v>
      </c>
      <c r="P331">
        <v>2024</v>
      </c>
      <c r="Q331">
        <f>IF(Nike_Sales_Cleaned[[#This Row],[Revenue]] = 0, 0, Nike_Sales_Cleaned[[#This Row],[Profit]]/Nike_Sales_Cleaned[[#This Row],[Revenue]])</f>
        <v>7.9851999397185555E-2</v>
      </c>
    </row>
    <row r="332" spans="1:17" x14ac:dyDescent="0.3">
      <c r="A332">
        <v>3680</v>
      </c>
      <c r="B332" t="s">
        <v>27</v>
      </c>
      <c r="C332" t="s">
        <v>11</v>
      </c>
      <c r="D332" t="s">
        <v>26</v>
      </c>
      <c r="E332" t="s">
        <v>25</v>
      </c>
      <c r="F332">
        <v>3</v>
      </c>
      <c r="G332">
        <v>5649.73</v>
      </c>
      <c r="H332">
        <v>0.92</v>
      </c>
      <c r="I332">
        <v>5649.65</v>
      </c>
      <c r="J332">
        <v>16948.949999999997</v>
      </c>
      <c r="K332" s="1">
        <v>45684</v>
      </c>
      <c r="L332" t="s">
        <v>18</v>
      </c>
      <c r="M332" t="s">
        <v>65</v>
      </c>
      <c r="N332">
        <v>-746.28</v>
      </c>
      <c r="O332" t="s">
        <v>75</v>
      </c>
      <c r="P332">
        <v>2025</v>
      </c>
      <c r="Q332">
        <f>IF(Nike_Sales_Cleaned[[#This Row],[Revenue]] = 0, 0, Nike_Sales_Cleaned[[#This Row],[Profit]]/Nike_Sales_Cleaned[[#This Row],[Revenue]])</f>
        <v>-4.4031046171001752E-2</v>
      </c>
    </row>
    <row r="333" spans="1:17" x14ac:dyDescent="0.3">
      <c r="A333">
        <v>3683</v>
      </c>
      <c r="B333" t="s">
        <v>15</v>
      </c>
      <c r="C333" t="s">
        <v>16</v>
      </c>
      <c r="D333" t="s">
        <v>19</v>
      </c>
      <c r="E333" t="s">
        <v>22</v>
      </c>
      <c r="F333">
        <v>2</v>
      </c>
      <c r="G333">
        <v>5178.83</v>
      </c>
      <c r="H333">
        <v>0</v>
      </c>
      <c r="I333">
        <v>5177.83</v>
      </c>
      <c r="J333">
        <v>10355.66</v>
      </c>
      <c r="K333" s="1">
        <v>45427</v>
      </c>
      <c r="L333" t="s">
        <v>18</v>
      </c>
      <c r="M333" t="s">
        <v>66</v>
      </c>
      <c r="N333">
        <v>-4.26</v>
      </c>
      <c r="O333" t="s">
        <v>74</v>
      </c>
      <c r="P333">
        <v>2024</v>
      </c>
      <c r="Q333">
        <f>IF(Nike_Sales_Cleaned[[#This Row],[Revenue]] = 0, 0, Nike_Sales_Cleaned[[#This Row],[Profit]]/Nike_Sales_Cleaned[[#This Row],[Revenue]])</f>
        <v>-4.1136924155485985E-4</v>
      </c>
    </row>
    <row r="334" spans="1:17" x14ac:dyDescent="0.3">
      <c r="A334">
        <v>3688</v>
      </c>
      <c r="B334" t="s">
        <v>10</v>
      </c>
      <c r="C334" t="s">
        <v>23</v>
      </c>
      <c r="D334" t="s">
        <v>24</v>
      </c>
      <c r="E334" t="s">
        <v>22</v>
      </c>
      <c r="F334">
        <v>1</v>
      </c>
      <c r="G334">
        <v>7557.71</v>
      </c>
      <c r="H334">
        <v>0</v>
      </c>
      <c r="I334">
        <v>7556.71</v>
      </c>
      <c r="J334">
        <v>7556.71</v>
      </c>
      <c r="K334" s="1">
        <v>45764</v>
      </c>
      <c r="L334" t="s">
        <v>18</v>
      </c>
      <c r="M334" t="s">
        <v>66</v>
      </c>
      <c r="N334">
        <v>1214.8599999999999</v>
      </c>
      <c r="O334" t="s">
        <v>74</v>
      </c>
      <c r="P334">
        <v>2025</v>
      </c>
      <c r="Q334">
        <f>IF(Nike_Sales_Cleaned[[#This Row],[Revenue]] = 0, 0, Nike_Sales_Cleaned[[#This Row],[Profit]]/Nike_Sales_Cleaned[[#This Row],[Revenue]])</f>
        <v>0.16076573005977468</v>
      </c>
    </row>
    <row r="335" spans="1:17" x14ac:dyDescent="0.3">
      <c r="A335">
        <v>2028</v>
      </c>
      <c r="B335" t="s">
        <v>10</v>
      </c>
      <c r="C335" t="s">
        <v>16</v>
      </c>
      <c r="D335" t="s">
        <v>42</v>
      </c>
      <c r="E335" t="s">
        <v>13</v>
      </c>
      <c r="F335">
        <v>2</v>
      </c>
      <c r="G335">
        <v>5940.3850000000002</v>
      </c>
      <c r="H335">
        <v>0.97</v>
      </c>
      <c r="I335">
        <v>5940.3550000000005</v>
      </c>
      <c r="J335">
        <v>11880.710000000001</v>
      </c>
      <c r="K335" s="1">
        <v>45792</v>
      </c>
      <c r="L335" t="s">
        <v>18</v>
      </c>
      <c r="M335" t="s">
        <v>62</v>
      </c>
      <c r="N335">
        <v>2305.1</v>
      </c>
      <c r="O335" t="s">
        <v>75</v>
      </c>
      <c r="P335">
        <v>2025</v>
      </c>
      <c r="Q335">
        <f>IF(Nike_Sales_Cleaned[[#This Row],[Revenue]] = 0, 0, Nike_Sales_Cleaned[[#This Row],[Profit]]/Nike_Sales_Cleaned[[#This Row],[Revenue]])</f>
        <v>0.19402039103723598</v>
      </c>
    </row>
    <row r="336" spans="1:17" x14ac:dyDescent="0.3">
      <c r="A336">
        <v>3691</v>
      </c>
      <c r="B336" t="s">
        <v>27</v>
      </c>
      <c r="C336" t="s">
        <v>16</v>
      </c>
      <c r="D336" t="s">
        <v>19</v>
      </c>
      <c r="E336" t="s">
        <v>28</v>
      </c>
      <c r="F336">
        <v>4</v>
      </c>
      <c r="G336">
        <v>5178.83</v>
      </c>
      <c r="H336">
        <v>0.51</v>
      </c>
      <c r="I336">
        <v>5178.34</v>
      </c>
      <c r="J336">
        <v>20713.36</v>
      </c>
      <c r="K336" s="1">
        <v>45744</v>
      </c>
      <c r="L336" t="s">
        <v>14</v>
      </c>
      <c r="M336" t="s">
        <v>64</v>
      </c>
      <c r="N336">
        <v>2305.88</v>
      </c>
      <c r="O336" t="s">
        <v>75</v>
      </c>
      <c r="P336">
        <v>2025</v>
      </c>
      <c r="Q336">
        <f>IF(Nike_Sales_Cleaned[[#This Row],[Revenue]] = 0, 0, Nike_Sales_Cleaned[[#This Row],[Profit]]/Nike_Sales_Cleaned[[#This Row],[Revenue]])</f>
        <v>0.11132331982836198</v>
      </c>
    </row>
    <row r="337" spans="1:17" x14ac:dyDescent="0.3">
      <c r="A337">
        <v>3706</v>
      </c>
      <c r="B337" t="s">
        <v>27</v>
      </c>
      <c r="C337" t="s">
        <v>23</v>
      </c>
      <c r="D337" t="s">
        <v>43</v>
      </c>
      <c r="E337" t="s">
        <v>13</v>
      </c>
      <c r="F337">
        <v>1</v>
      </c>
      <c r="G337">
        <v>6577.39</v>
      </c>
      <c r="H337">
        <v>0</v>
      </c>
      <c r="I337">
        <v>6576.39</v>
      </c>
      <c r="J337">
        <v>6576.39</v>
      </c>
      <c r="K337" s="1">
        <v>45725</v>
      </c>
      <c r="L337" t="s">
        <v>18</v>
      </c>
      <c r="M337" t="s">
        <v>61</v>
      </c>
      <c r="N337">
        <v>3271.38</v>
      </c>
      <c r="O337" t="s">
        <v>74</v>
      </c>
      <c r="P337">
        <v>2025</v>
      </c>
      <c r="Q337">
        <f>IF(Nike_Sales_Cleaned[[#This Row],[Revenue]] = 0, 0, Nike_Sales_Cleaned[[#This Row],[Profit]]/Nike_Sales_Cleaned[[#This Row],[Revenue]])</f>
        <v>0.49744312609197444</v>
      </c>
    </row>
    <row r="338" spans="1:17" x14ac:dyDescent="0.3">
      <c r="A338">
        <v>3707</v>
      </c>
      <c r="B338" t="s">
        <v>10</v>
      </c>
      <c r="C338" t="s">
        <v>20</v>
      </c>
      <c r="D338" t="s">
        <v>30</v>
      </c>
      <c r="E338" t="s">
        <v>22</v>
      </c>
      <c r="F338">
        <v>4</v>
      </c>
      <c r="G338">
        <v>6216.29</v>
      </c>
      <c r="H338">
        <v>0</v>
      </c>
      <c r="I338">
        <v>6215.29</v>
      </c>
      <c r="J338">
        <v>24861.16</v>
      </c>
      <c r="K338" s="1">
        <v>45689</v>
      </c>
      <c r="L338" t="s">
        <v>14</v>
      </c>
      <c r="M338" t="s">
        <v>63</v>
      </c>
      <c r="N338">
        <v>732.26</v>
      </c>
      <c r="O338" t="s">
        <v>74</v>
      </c>
      <c r="P338">
        <v>2025</v>
      </c>
      <c r="Q338">
        <f>IF(Nike_Sales_Cleaned[[#This Row],[Revenue]] = 0, 0, Nike_Sales_Cleaned[[#This Row],[Profit]]/Nike_Sales_Cleaned[[#This Row],[Revenue]])</f>
        <v>2.9453975598885972E-2</v>
      </c>
    </row>
    <row r="339" spans="1:17" x14ac:dyDescent="0.3">
      <c r="A339">
        <v>3714</v>
      </c>
      <c r="B339" t="s">
        <v>10</v>
      </c>
      <c r="C339" t="s">
        <v>16</v>
      </c>
      <c r="D339" t="s">
        <v>17</v>
      </c>
      <c r="E339" t="s">
        <v>22</v>
      </c>
      <c r="F339">
        <v>2</v>
      </c>
      <c r="G339">
        <v>5234.1550000000007</v>
      </c>
      <c r="H339">
        <v>0</v>
      </c>
      <c r="I339">
        <v>5233.1550000000007</v>
      </c>
      <c r="J339">
        <v>10466.310000000001</v>
      </c>
      <c r="K339" s="1">
        <v>45709</v>
      </c>
      <c r="L339" t="s">
        <v>18</v>
      </c>
      <c r="M339" t="s">
        <v>63</v>
      </c>
      <c r="N339">
        <v>2363.52</v>
      </c>
      <c r="O339" t="s">
        <v>74</v>
      </c>
      <c r="P339">
        <v>2025</v>
      </c>
      <c r="Q339">
        <f>IF(Nike_Sales_Cleaned[[#This Row],[Revenue]] = 0, 0, Nike_Sales_Cleaned[[#This Row],[Profit]]/Nike_Sales_Cleaned[[#This Row],[Revenue]])</f>
        <v>0.22582170793718126</v>
      </c>
    </row>
    <row r="340" spans="1:17" x14ac:dyDescent="0.3">
      <c r="A340">
        <v>3715</v>
      </c>
      <c r="B340" t="s">
        <v>27</v>
      </c>
      <c r="C340" t="s">
        <v>20</v>
      </c>
      <c r="D340" t="s">
        <v>47</v>
      </c>
      <c r="E340" t="s">
        <v>22</v>
      </c>
      <c r="F340">
        <v>4</v>
      </c>
      <c r="G340">
        <v>6010.71</v>
      </c>
      <c r="H340">
        <v>0</v>
      </c>
      <c r="I340">
        <v>6009.71</v>
      </c>
      <c r="J340">
        <v>24038.84</v>
      </c>
      <c r="K340" s="1">
        <v>45831</v>
      </c>
      <c r="L340" t="s">
        <v>14</v>
      </c>
      <c r="M340" t="s">
        <v>64</v>
      </c>
      <c r="N340">
        <v>2774.43</v>
      </c>
      <c r="O340" t="s">
        <v>74</v>
      </c>
      <c r="P340">
        <v>2025</v>
      </c>
      <c r="Q340">
        <f>IF(Nike_Sales_Cleaned[[#This Row],[Revenue]] = 0, 0, Nike_Sales_Cleaned[[#This Row],[Profit]]/Nike_Sales_Cleaned[[#This Row],[Revenue]])</f>
        <v>0.11541447091456991</v>
      </c>
    </row>
    <row r="341" spans="1:17" x14ac:dyDescent="0.3">
      <c r="A341">
        <v>3722</v>
      </c>
      <c r="B341" t="s">
        <v>10</v>
      </c>
      <c r="C341" t="s">
        <v>11</v>
      </c>
      <c r="D341" t="s">
        <v>41</v>
      </c>
      <c r="E341" t="s">
        <v>44</v>
      </c>
      <c r="F341">
        <v>1</v>
      </c>
      <c r="G341">
        <v>7594.7199999999993</v>
      </c>
      <c r="H341">
        <v>0.22</v>
      </c>
      <c r="I341">
        <v>7593.94</v>
      </c>
      <c r="J341">
        <v>7593.94</v>
      </c>
      <c r="K341" s="1">
        <v>45251</v>
      </c>
      <c r="L341" t="s">
        <v>18</v>
      </c>
      <c r="M341" t="s">
        <v>63</v>
      </c>
      <c r="N341">
        <v>1787.45</v>
      </c>
      <c r="O341" t="s">
        <v>78</v>
      </c>
      <c r="P341">
        <v>2023</v>
      </c>
      <c r="Q341">
        <f>IF(Nike_Sales_Cleaned[[#This Row],[Revenue]] = 0, 0, Nike_Sales_Cleaned[[#This Row],[Profit]]/Nike_Sales_Cleaned[[#This Row],[Revenue]])</f>
        <v>0.23537847283491839</v>
      </c>
    </row>
    <row r="342" spans="1:17" x14ac:dyDescent="0.3">
      <c r="A342">
        <v>3724</v>
      </c>
      <c r="B342" t="s">
        <v>10</v>
      </c>
      <c r="C342" t="s">
        <v>31</v>
      </c>
      <c r="D342" t="s">
        <v>48</v>
      </c>
      <c r="E342" t="s">
        <v>25</v>
      </c>
      <c r="F342">
        <v>2</v>
      </c>
      <c r="G342">
        <v>5355.64</v>
      </c>
      <c r="H342">
        <v>0</v>
      </c>
      <c r="I342">
        <v>5354.64</v>
      </c>
      <c r="J342">
        <v>10709.28</v>
      </c>
      <c r="K342" s="1">
        <v>45679</v>
      </c>
      <c r="L342" t="s">
        <v>14</v>
      </c>
      <c r="M342" t="s">
        <v>64</v>
      </c>
      <c r="N342">
        <v>-866.33</v>
      </c>
      <c r="O342" t="s">
        <v>74</v>
      </c>
      <c r="P342">
        <v>2025</v>
      </c>
      <c r="Q342">
        <f>IF(Nike_Sales_Cleaned[[#This Row],[Revenue]] = 0, 0, Nike_Sales_Cleaned[[#This Row],[Profit]]/Nike_Sales_Cleaned[[#This Row],[Revenue]])</f>
        <v>-8.0895260932574362E-2</v>
      </c>
    </row>
    <row r="343" spans="1:17" x14ac:dyDescent="0.3">
      <c r="A343">
        <v>3738</v>
      </c>
      <c r="B343" t="s">
        <v>27</v>
      </c>
      <c r="C343" t="s">
        <v>16</v>
      </c>
      <c r="D343" t="s">
        <v>19</v>
      </c>
      <c r="E343" t="s">
        <v>28</v>
      </c>
      <c r="F343">
        <v>1</v>
      </c>
      <c r="G343">
        <v>5178.83</v>
      </c>
      <c r="H343">
        <v>0.02</v>
      </c>
      <c r="I343">
        <v>5177.8500000000004</v>
      </c>
      <c r="J343">
        <v>5177.8500000000004</v>
      </c>
      <c r="K343" s="1">
        <v>45746</v>
      </c>
      <c r="L343" t="s">
        <v>14</v>
      </c>
      <c r="M343" t="s">
        <v>65</v>
      </c>
      <c r="N343">
        <v>-673.94</v>
      </c>
      <c r="O343" t="s">
        <v>74</v>
      </c>
      <c r="P343">
        <v>2025</v>
      </c>
      <c r="Q343">
        <f>IF(Nike_Sales_Cleaned[[#This Row],[Revenue]] = 0, 0, Nike_Sales_Cleaned[[#This Row],[Profit]]/Nike_Sales_Cleaned[[#This Row],[Revenue]])</f>
        <v>-0.13015827032455557</v>
      </c>
    </row>
    <row r="344" spans="1:17" x14ac:dyDescent="0.3">
      <c r="A344">
        <v>3741</v>
      </c>
      <c r="B344" t="s">
        <v>10</v>
      </c>
      <c r="C344" t="s">
        <v>20</v>
      </c>
      <c r="D344" t="s">
        <v>47</v>
      </c>
      <c r="E344" t="s">
        <v>22</v>
      </c>
      <c r="F344">
        <v>2</v>
      </c>
      <c r="G344">
        <v>6010.71</v>
      </c>
      <c r="H344">
        <v>0.2</v>
      </c>
      <c r="I344">
        <v>6009.91</v>
      </c>
      <c r="J344">
        <v>12019.82</v>
      </c>
      <c r="K344" s="1">
        <v>45851</v>
      </c>
      <c r="L344" t="s">
        <v>18</v>
      </c>
      <c r="M344" t="s">
        <v>66</v>
      </c>
      <c r="N344">
        <v>821.32</v>
      </c>
      <c r="O344" t="s">
        <v>76</v>
      </c>
      <c r="P344">
        <v>2025</v>
      </c>
      <c r="Q344">
        <f>IF(Nike_Sales_Cleaned[[#This Row],[Revenue]] = 0, 0, Nike_Sales_Cleaned[[#This Row],[Profit]]/Nike_Sales_Cleaned[[#This Row],[Revenue]])</f>
        <v>6.8330474166834451E-2</v>
      </c>
    </row>
    <row r="345" spans="1:17" x14ac:dyDescent="0.3">
      <c r="A345">
        <v>3754</v>
      </c>
      <c r="B345" t="s">
        <v>10</v>
      </c>
      <c r="C345" t="s">
        <v>23</v>
      </c>
      <c r="D345" t="s">
        <v>37</v>
      </c>
      <c r="E345" t="s">
        <v>22</v>
      </c>
      <c r="F345">
        <v>3</v>
      </c>
      <c r="G345">
        <v>5620.64</v>
      </c>
      <c r="H345">
        <v>0</v>
      </c>
      <c r="I345">
        <v>5619.64</v>
      </c>
      <c r="J345">
        <v>16858.920000000002</v>
      </c>
      <c r="K345" s="1">
        <v>45564</v>
      </c>
      <c r="L345" t="s">
        <v>14</v>
      </c>
      <c r="M345" t="s">
        <v>64</v>
      </c>
      <c r="N345">
        <v>828.22</v>
      </c>
      <c r="O345" t="s">
        <v>74</v>
      </c>
      <c r="P345">
        <v>2024</v>
      </c>
      <c r="Q345">
        <f>IF(Nike_Sales_Cleaned[[#This Row],[Revenue]] = 0, 0, Nike_Sales_Cleaned[[#This Row],[Profit]]/Nike_Sales_Cleaned[[#This Row],[Revenue]])</f>
        <v>4.9126515814773425E-2</v>
      </c>
    </row>
    <row r="346" spans="1:17" x14ac:dyDescent="0.3">
      <c r="A346">
        <v>3755</v>
      </c>
      <c r="B346" t="s">
        <v>15</v>
      </c>
      <c r="C346" t="s">
        <v>16</v>
      </c>
      <c r="D346" t="s">
        <v>42</v>
      </c>
      <c r="E346" t="s">
        <v>49</v>
      </c>
      <c r="F346">
        <v>4</v>
      </c>
      <c r="G346">
        <v>5940.3850000000002</v>
      </c>
      <c r="H346">
        <v>0.25</v>
      </c>
      <c r="I346">
        <v>5939.6350000000002</v>
      </c>
      <c r="J346">
        <v>23758.54</v>
      </c>
      <c r="K346" s="1">
        <v>45767</v>
      </c>
      <c r="L346" t="s">
        <v>18</v>
      </c>
      <c r="M346" t="s">
        <v>63</v>
      </c>
      <c r="N346">
        <v>1007</v>
      </c>
      <c r="O346" t="s">
        <v>78</v>
      </c>
      <c r="P346">
        <v>2025</v>
      </c>
      <c r="Q346">
        <f>IF(Nike_Sales_Cleaned[[#This Row],[Revenue]] = 0, 0, Nike_Sales_Cleaned[[#This Row],[Profit]]/Nike_Sales_Cleaned[[#This Row],[Revenue]])</f>
        <v>4.2384759332854627E-2</v>
      </c>
    </row>
    <row r="347" spans="1:17" x14ac:dyDescent="0.3">
      <c r="A347">
        <v>3758</v>
      </c>
      <c r="B347" t="s">
        <v>10</v>
      </c>
      <c r="C347" t="s">
        <v>23</v>
      </c>
      <c r="D347" t="s">
        <v>43</v>
      </c>
      <c r="E347" t="s">
        <v>13</v>
      </c>
      <c r="F347">
        <v>3</v>
      </c>
      <c r="G347">
        <v>6577.39</v>
      </c>
      <c r="H347">
        <v>0</v>
      </c>
      <c r="I347">
        <v>6576.39</v>
      </c>
      <c r="J347">
        <v>19729.170000000002</v>
      </c>
      <c r="K347" s="1">
        <v>45787</v>
      </c>
      <c r="L347" t="s">
        <v>18</v>
      </c>
      <c r="M347" t="s">
        <v>65</v>
      </c>
      <c r="N347">
        <v>-233.45</v>
      </c>
      <c r="O347" t="s">
        <v>74</v>
      </c>
      <c r="P347">
        <v>2025</v>
      </c>
      <c r="Q347">
        <f>IF(Nike_Sales_Cleaned[[#This Row],[Revenue]] = 0, 0, Nike_Sales_Cleaned[[#This Row],[Profit]]/Nike_Sales_Cleaned[[#This Row],[Revenue]])</f>
        <v>-1.1832732953286934E-2</v>
      </c>
    </row>
    <row r="348" spans="1:17" x14ac:dyDescent="0.3">
      <c r="A348">
        <v>3761</v>
      </c>
      <c r="B348" t="s">
        <v>15</v>
      </c>
      <c r="C348" t="s">
        <v>31</v>
      </c>
      <c r="D348" t="s">
        <v>39</v>
      </c>
      <c r="E348" t="s">
        <v>22</v>
      </c>
      <c r="F348">
        <v>4</v>
      </c>
      <c r="G348">
        <v>7845.46</v>
      </c>
      <c r="H348">
        <v>0.14000000000000001</v>
      </c>
      <c r="I348">
        <v>7844.6</v>
      </c>
      <c r="J348">
        <v>31378.400000000001</v>
      </c>
      <c r="K348" s="1">
        <v>45614</v>
      </c>
      <c r="L348" t="s">
        <v>14</v>
      </c>
      <c r="M348" t="s">
        <v>61</v>
      </c>
      <c r="N348">
        <v>2569.7399999999998</v>
      </c>
      <c r="O348" t="s">
        <v>76</v>
      </c>
      <c r="P348">
        <v>2024</v>
      </c>
      <c r="Q348">
        <f>IF(Nike_Sales_Cleaned[[#This Row],[Revenue]] = 0, 0, Nike_Sales_Cleaned[[#This Row],[Profit]]/Nike_Sales_Cleaned[[#This Row],[Revenue]])</f>
        <v>8.1895189047242675E-2</v>
      </c>
    </row>
    <row r="349" spans="1:17" x14ac:dyDescent="0.3">
      <c r="A349">
        <v>3762</v>
      </c>
      <c r="B349" t="s">
        <v>27</v>
      </c>
      <c r="C349" t="s">
        <v>20</v>
      </c>
      <c r="D349" t="s">
        <v>47</v>
      </c>
      <c r="E349" t="s">
        <v>33</v>
      </c>
      <c r="F349">
        <v>1</v>
      </c>
      <c r="G349">
        <v>6010.71</v>
      </c>
      <c r="H349">
        <v>0</v>
      </c>
      <c r="I349">
        <v>6009.71</v>
      </c>
      <c r="J349">
        <v>6009.71</v>
      </c>
      <c r="K349" s="1">
        <v>45844</v>
      </c>
      <c r="L349" t="s">
        <v>18</v>
      </c>
      <c r="M349" t="s">
        <v>63</v>
      </c>
      <c r="N349">
        <v>-997.11</v>
      </c>
      <c r="O349" t="s">
        <v>74</v>
      </c>
      <c r="P349">
        <v>2025</v>
      </c>
      <c r="Q349">
        <f>IF(Nike_Sales_Cleaned[[#This Row],[Revenue]] = 0, 0, Nike_Sales_Cleaned[[#This Row],[Profit]]/Nike_Sales_Cleaned[[#This Row],[Revenue]])</f>
        <v>-0.16591649181075294</v>
      </c>
    </row>
    <row r="350" spans="1:17" x14ac:dyDescent="0.3">
      <c r="A350">
        <v>3764</v>
      </c>
      <c r="B350" t="s">
        <v>27</v>
      </c>
      <c r="C350" t="s">
        <v>20</v>
      </c>
      <c r="D350" t="s">
        <v>21</v>
      </c>
      <c r="E350" t="s">
        <v>46</v>
      </c>
      <c r="F350">
        <v>2</v>
      </c>
      <c r="G350">
        <v>4904.79</v>
      </c>
      <c r="H350">
        <v>0</v>
      </c>
      <c r="I350">
        <v>4903.79</v>
      </c>
      <c r="J350">
        <v>9807.58</v>
      </c>
      <c r="K350" s="1">
        <v>45344</v>
      </c>
      <c r="L350" t="s">
        <v>14</v>
      </c>
      <c r="M350" t="s">
        <v>66</v>
      </c>
      <c r="N350">
        <v>528.86</v>
      </c>
      <c r="O350" t="s">
        <v>74</v>
      </c>
      <c r="P350">
        <v>2024</v>
      </c>
      <c r="Q350">
        <f>IF(Nike_Sales_Cleaned[[#This Row],[Revenue]] = 0, 0, Nike_Sales_Cleaned[[#This Row],[Profit]]/Nike_Sales_Cleaned[[#This Row],[Revenue]])</f>
        <v>5.3923597870218748E-2</v>
      </c>
    </row>
    <row r="351" spans="1:17" x14ac:dyDescent="0.3">
      <c r="A351">
        <v>3765</v>
      </c>
      <c r="B351" t="s">
        <v>10</v>
      </c>
      <c r="C351" t="s">
        <v>23</v>
      </c>
      <c r="D351" t="s">
        <v>43</v>
      </c>
      <c r="E351" t="s">
        <v>13</v>
      </c>
      <c r="F351">
        <v>3</v>
      </c>
      <c r="G351">
        <v>6577.39</v>
      </c>
      <c r="H351">
        <v>0.44</v>
      </c>
      <c r="I351">
        <v>6576.83</v>
      </c>
      <c r="J351">
        <v>19730.489999999998</v>
      </c>
      <c r="K351" s="1">
        <v>45537</v>
      </c>
      <c r="L351" t="s">
        <v>14</v>
      </c>
      <c r="M351" t="s">
        <v>61</v>
      </c>
      <c r="N351">
        <v>3376.32</v>
      </c>
      <c r="O351" t="s">
        <v>77</v>
      </c>
      <c r="P351">
        <v>2024</v>
      </c>
      <c r="Q351">
        <f>IF(Nike_Sales_Cleaned[[#This Row],[Revenue]] = 0, 0, Nike_Sales_Cleaned[[#This Row],[Profit]]/Nike_Sales_Cleaned[[#This Row],[Revenue]])</f>
        <v>0.17112195388963986</v>
      </c>
    </row>
    <row r="352" spans="1:17" x14ac:dyDescent="0.3">
      <c r="A352">
        <v>3770</v>
      </c>
      <c r="B352" t="s">
        <v>15</v>
      </c>
      <c r="C352" t="s">
        <v>23</v>
      </c>
      <c r="D352" t="s">
        <v>37</v>
      </c>
      <c r="E352" t="s">
        <v>13</v>
      </c>
      <c r="F352">
        <v>4</v>
      </c>
      <c r="G352">
        <v>5620.64</v>
      </c>
      <c r="H352">
        <v>0.36</v>
      </c>
      <c r="I352">
        <v>5620</v>
      </c>
      <c r="J352">
        <v>22480</v>
      </c>
      <c r="K352" s="1">
        <v>45325</v>
      </c>
      <c r="L352" t="s">
        <v>18</v>
      </c>
      <c r="M352" t="s">
        <v>63</v>
      </c>
      <c r="N352">
        <v>3784.67</v>
      </c>
      <c r="O352" t="s">
        <v>77</v>
      </c>
      <c r="P352">
        <v>2024</v>
      </c>
      <c r="Q352">
        <f>IF(Nike_Sales_Cleaned[[#This Row],[Revenue]] = 0, 0, Nike_Sales_Cleaned[[#This Row],[Profit]]/Nike_Sales_Cleaned[[#This Row],[Revenue]])</f>
        <v>0.16835720640569396</v>
      </c>
    </row>
    <row r="353" spans="1:17" x14ac:dyDescent="0.3">
      <c r="A353">
        <v>3772</v>
      </c>
      <c r="B353" t="s">
        <v>15</v>
      </c>
      <c r="C353" t="s">
        <v>16</v>
      </c>
      <c r="D353" t="s">
        <v>29</v>
      </c>
      <c r="E353" t="s">
        <v>25</v>
      </c>
      <c r="F353">
        <v>3</v>
      </c>
      <c r="G353">
        <v>6880.21</v>
      </c>
      <c r="H353">
        <v>0</v>
      </c>
      <c r="I353">
        <v>6879.21</v>
      </c>
      <c r="J353">
        <v>20637.63</v>
      </c>
      <c r="K353" s="1">
        <v>45619</v>
      </c>
      <c r="L353" t="s">
        <v>18</v>
      </c>
      <c r="M353" t="s">
        <v>62</v>
      </c>
      <c r="N353">
        <v>3115.97</v>
      </c>
      <c r="O353" t="s">
        <v>74</v>
      </c>
      <c r="P353">
        <v>2024</v>
      </c>
      <c r="Q353">
        <f>IF(Nike_Sales_Cleaned[[#This Row],[Revenue]] = 0, 0, Nike_Sales_Cleaned[[#This Row],[Profit]]/Nike_Sales_Cleaned[[#This Row],[Revenue]])</f>
        <v>0.15098487568582245</v>
      </c>
    </row>
    <row r="354" spans="1:17" x14ac:dyDescent="0.3">
      <c r="A354">
        <v>3789</v>
      </c>
      <c r="B354" t="s">
        <v>15</v>
      </c>
      <c r="C354" t="s">
        <v>20</v>
      </c>
      <c r="D354" t="s">
        <v>47</v>
      </c>
      <c r="E354" t="s">
        <v>25</v>
      </c>
      <c r="F354">
        <v>2</v>
      </c>
      <c r="G354">
        <v>6010.71</v>
      </c>
      <c r="H354">
        <v>0</v>
      </c>
      <c r="I354">
        <v>6009.71</v>
      </c>
      <c r="J354">
        <v>12019.42</v>
      </c>
      <c r="K354" s="1">
        <v>45515</v>
      </c>
      <c r="L354" t="s">
        <v>18</v>
      </c>
      <c r="M354" t="s">
        <v>61</v>
      </c>
      <c r="N354">
        <v>863.29</v>
      </c>
      <c r="O354" t="s">
        <v>74</v>
      </c>
      <c r="P354">
        <v>2024</v>
      </c>
      <c r="Q354">
        <f>IF(Nike_Sales_Cleaned[[#This Row],[Revenue]] = 0, 0, Nike_Sales_Cleaned[[#This Row],[Profit]]/Nike_Sales_Cleaned[[#This Row],[Revenue]])</f>
        <v>7.1824597193541784E-2</v>
      </c>
    </row>
    <row r="355" spans="1:17" x14ac:dyDescent="0.3">
      <c r="A355">
        <v>3794</v>
      </c>
      <c r="B355" t="s">
        <v>27</v>
      </c>
      <c r="C355" t="s">
        <v>11</v>
      </c>
      <c r="D355" t="s">
        <v>26</v>
      </c>
      <c r="E355" t="s">
        <v>25</v>
      </c>
      <c r="F355">
        <v>3</v>
      </c>
      <c r="G355">
        <v>5649.73</v>
      </c>
      <c r="H355">
        <v>0</v>
      </c>
      <c r="I355">
        <v>5648.73</v>
      </c>
      <c r="J355">
        <v>16946.189999999999</v>
      </c>
      <c r="K355" s="1">
        <v>45765</v>
      </c>
      <c r="L355" t="s">
        <v>14</v>
      </c>
      <c r="M355" t="s">
        <v>62</v>
      </c>
      <c r="N355">
        <v>125.97</v>
      </c>
      <c r="O355" t="s">
        <v>74</v>
      </c>
      <c r="P355">
        <v>2025</v>
      </c>
      <c r="Q355">
        <f>IF(Nike_Sales_Cleaned[[#This Row],[Revenue]] = 0, 0, Nike_Sales_Cleaned[[#This Row],[Profit]]/Nike_Sales_Cleaned[[#This Row],[Revenue]])</f>
        <v>7.4335293065874988E-3</v>
      </c>
    </row>
    <row r="356" spans="1:17" x14ac:dyDescent="0.3">
      <c r="A356">
        <v>3813</v>
      </c>
      <c r="B356" t="s">
        <v>27</v>
      </c>
      <c r="C356" t="s">
        <v>20</v>
      </c>
      <c r="D356" t="s">
        <v>30</v>
      </c>
      <c r="E356" t="s">
        <v>13</v>
      </c>
      <c r="F356">
        <v>3</v>
      </c>
      <c r="G356">
        <v>6216.29</v>
      </c>
      <c r="H356">
        <v>0</v>
      </c>
      <c r="I356">
        <v>6215.29</v>
      </c>
      <c r="J356">
        <v>18645.87</v>
      </c>
      <c r="K356" s="1">
        <v>45786</v>
      </c>
      <c r="L356" t="s">
        <v>14</v>
      </c>
      <c r="M356" t="s">
        <v>63</v>
      </c>
      <c r="N356">
        <v>-921.98</v>
      </c>
      <c r="O356" t="s">
        <v>74</v>
      </c>
      <c r="P356">
        <v>2025</v>
      </c>
      <c r="Q356">
        <f>IF(Nike_Sales_Cleaned[[#This Row],[Revenue]] = 0, 0, Nike_Sales_Cleaned[[#This Row],[Profit]]/Nike_Sales_Cleaned[[#This Row],[Revenue]])</f>
        <v>-4.9446874830726593E-2</v>
      </c>
    </row>
    <row r="357" spans="1:17" x14ac:dyDescent="0.3">
      <c r="A357">
        <v>3815</v>
      </c>
      <c r="B357" t="s">
        <v>15</v>
      </c>
      <c r="C357" t="s">
        <v>11</v>
      </c>
      <c r="D357" t="s">
        <v>26</v>
      </c>
      <c r="E357" t="s">
        <v>33</v>
      </c>
      <c r="F357">
        <v>3</v>
      </c>
      <c r="G357">
        <v>5649.73</v>
      </c>
      <c r="H357">
        <v>0</v>
      </c>
      <c r="I357">
        <v>5648.73</v>
      </c>
      <c r="J357">
        <v>16946.189999999999</v>
      </c>
      <c r="K357" s="1">
        <v>45763</v>
      </c>
      <c r="L357" t="s">
        <v>14</v>
      </c>
      <c r="M357" t="s">
        <v>66</v>
      </c>
      <c r="N357">
        <v>1224.44</v>
      </c>
      <c r="O357" t="s">
        <v>74</v>
      </c>
      <c r="P357">
        <v>2025</v>
      </c>
      <c r="Q357">
        <f>IF(Nike_Sales_Cleaned[[#This Row],[Revenue]] = 0, 0, Nike_Sales_Cleaned[[#This Row],[Profit]]/Nike_Sales_Cleaned[[#This Row],[Revenue]])</f>
        <v>7.2254589379677686E-2</v>
      </c>
    </row>
    <row r="358" spans="1:17" x14ac:dyDescent="0.3">
      <c r="A358">
        <v>3819</v>
      </c>
      <c r="B358" t="s">
        <v>10</v>
      </c>
      <c r="C358" t="s">
        <v>31</v>
      </c>
      <c r="D358" t="s">
        <v>39</v>
      </c>
      <c r="E358" t="s">
        <v>13</v>
      </c>
      <c r="F358">
        <v>3</v>
      </c>
      <c r="G358">
        <v>7845.46</v>
      </c>
      <c r="H358">
        <v>0</v>
      </c>
      <c r="I358">
        <v>7844.46</v>
      </c>
      <c r="J358">
        <v>23533.38</v>
      </c>
      <c r="K358" s="1">
        <v>45804</v>
      </c>
      <c r="L358" t="s">
        <v>18</v>
      </c>
      <c r="M358" t="s">
        <v>66</v>
      </c>
      <c r="N358">
        <v>2723</v>
      </c>
      <c r="O358" t="s">
        <v>74</v>
      </c>
      <c r="P358">
        <v>2025</v>
      </c>
      <c r="Q358">
        <f>IF(Nike_Sales_Cleaned[[#This Row],[Revenue]] = 0, 0, Nike_Sales_Cleaned[[#This Row],[Profit]]/Nike_Sales_Cleaned[[#This Row],[Revenue]])</f>
        <v>0.1157079858481867</v>
      </c>
    </row>
    <row r="359" spans="1:17" x14ac:dyDescent="0.3">
      <c r="A359">
        <v>3830</v>
      </c>
      <c r="B359" t="s">
        <v>10</v>
      </c>
      <c r="C359" t="s">
        <v>16</v>
      </c>
      <c r="D359" t="s">
        <v>42</v>
      </c>
      <c r="E359" t="s">
        <v>22</v>
      </c>
      <c r="F359">
        <v>2</v>
      </c>
      <c r="G359">
        <v>5940.3850000000002</v>
      </c>
      <c r="H359">
        <v>0</v>
      </c>
      <c r="I359">
        <v>5939.3850000000002</v>
      </c>
      <c r="J359">
        <v>11878.77</v>
      </c>
      <c r="K359" s="1">
        <v>45539</v>
      </c>
      <c r="L359" t="s">
        <v>18</v>
      </c>
      <c r="M359" t="s">
        <v>61</v>
      </c>
      <c r="N359">
        <v>3188.23</v>
      </c>
      <c r="O359" t="s">
        <v>74</v>
      </c>
      <c r="P359">
        <v>2024</v>
      </c>
      <c r="Q359">
        <f>IF(Nike_Sales_Cleaned[[#This Row],[Revenue]] = 0, 0, Nike_Sales_Cleaned[[#This Row],[Profit]]/Nike_Sales_Cleaned[[#This Row],[Revenue]])</f>
        <v>0.26839731723065602</v>
      </c>
    </row>
    <row r="360" spans="1:17" x14ac:dyDescent="0.3">
      <c r="A360">
        <v>3844</v>
      </c>
      <c r="B360" t="s">
        <v>15</v>
      </c>
      <c r="C360" t="s">
        <v>11</v>
      </c>
      <c r="D360" t="s">
        <v>34</v>
      </c>
      <c r="E360" t="s">
        <v>13</v>
      </c>
      <c r="F360">
        <v>1</v>
      </c>
      <c r="G360">
        <v>6186.9950000000008</v>
      </c>
      <c r="H360">
        <v>0.32</v>
      </c>
      <c r="I360">
        <v>6186.3150000000005</v>
      </c>
      <c r="J360">
        <v>6186.3150000000005</v>
      </c>
      <c r="K360" s="1">
        <v>45533</v>
      </c>
      <c r="L360" t="s">
        <v>14</v>
      </c>
      <c r="M360" t="s">
        <v>63</v>
      </c>
      <c r="N360">
        <v>1073.8</v>
      </c>
      <c r="O360" t="s">
        <v>77</v>
      </c>
      <c r="P360">
        <v>2024</v>
      </c>
      <c r="Q360">
        <f>IF(Nike_Sales_Cleaned[[#This Row],[Revenue]] = 0, 0, Nike_Sales_Cleaned[[#This Row],[Profit]]/Nike_Sales_Cleaned[[#This Row],[Revenue]])</f>
        <v>0.17357667690701167</v>
      </c>
    </row>
    <row r="361" spans="1:17" x14ac:dyDescent="0.3">
      <c r="A361">
        <v>3858</v>
      </c>
      <c r="B361" t="s">
        <v>10</v>
      </c>
      <c r="C361" t="s">
        <v>20</v>
      </c>
      <c r="D361" t="s">
        <v>30</v>
      </c>
      <c r="E361" t="s">
        <v>22</v>
      </c>
      <c r="F361">
        <v>2</v>
      </c>
      <c r="G361">
        <v>6216.29</v>
      </c>
      <c r="H361">
        <v>0.87</v>
      </c>
      <c r="I361">
        <v>6216.16</v>
      </c>
      <c r="J361">
        <v>12432.32</v>
      </c>
      <c r="K361" s="1">
        <v>45542</v>
      </c>
      <c r="L361" t="s">
        <v>14</v>
      </c>
      <c r="M361" t="s">
        <v>64</v>
      </c>
      <c r="N361">
        <v>-485.83</v>
      </c>
      <c r="O361" t="s">
        <v>75</v>
      </c>
      <c r="P361">
        <v>2024</v>
      </c>
      <c r="Q361">
        <f>IF(Nike_Sales_Cleaned[[#This Row],[Revenue]] = 0, 0, Nike_Sales_Cleaned[[#This Row],[Profit]]/Nike_Sales_Cleaned[[#This Row],[Revenue]])</f>
        <v>-3.9077983835679904E-2</v>
      </c>
    </row>
    <row r="362" spans="1:17" x14ac:dyDescent="0.3">
      <c r="A362">
        <v>3859</v>
      </c>
      <c r="B362" t="s">
        <v>10</v>
      </c>
      <c r="C362" t="s">
        <v>20</v>
      </c>
      <c r="D362" t="s">
        <v>21</v>
      </c>
      <c r="E362" t="s">
        <v>13</v>
      </c>
      <c r="F362">
        <v>3</v>
      </c>
      <c r="G362">
        <v>4904.79</v>
      </c>
      <c r="H362">
        <v>0</v>
      </c>
      <c r="I362">
        <v>4903.79</v>
      </c>
      <c r="J362">
        <v>14711.369999999999</v>
      </c>
      <c r="K362" s="1">
        <v>45616</v>
      </c>
      <c r="L362" t="s">
        <v>18</v>
      </c>
      <c r="M362" t="s">
        <v>63</v>
      </c>
      <c r="N362">
        <v>2907.33</v>
      </c>
      <c r="O362" t="s">
        <v>74</v>
      </c>
      <c r="P362">
        <v>2024</v>
      </c>
      <c r="Q362">
        <f>IF(Nike_Sales_Cleaned[[#This Row],[Revenue]] = 0, 0, Nike_Sales_Cleaned[[#This Row],[Profit]]/Nike_Sales_Cleaned[[#This Row],[Revenue]])</f>
        <v>0.19762469436904925</v>
      </c>
    </row>
    <row r="363" spans="1:17" x14ac:dyDescent="0.3">
      <c r="A363">
        <v>3860</v>
      </c>
      <c r="B363" t="s">
        <v>27</v>
      </c>
      <c r="C363" t="s">
        <v>31</v>
      </c>
      <c r="D363" t="s">
        <v>48</v>
      </c>
      <c r="E363" t="s">
        <v>44</v>
      </c>
      <c r="F363">
        <v>3</v>
      </c>
      <c r="G363">
        <v>5355.64</v>
      </c>
      <c r="H363">
        <v>0</v>
      </c>
      <c r="I363">
        <v>5354.64</v>
      </c>
      <c r="J363">
        <v>16063.920000000002</v>
      </c>
      <c r="K363" s="1">
        <v>45751</v>
      </c>
      <c r="L363" t="s">
        <v>14</v>
      </c>
      <c r="M363" t="s">
        <v>63</v>
      </c>
      <c r="N363">
        <v>3441.46</v>
      </c>
      <c r="O363" t="s">
        <v>74</v>
      </c>
      <c r="P363">
        <v>2025</v>
      </c>
      <c r="Q363">
        <f>IF(Nike_Sales_Cleaned[[#This Row],[Revenue]] = 0, 0, Nike_Sales_Cleaned[[#This Row],[Profit]]/Nike_Sales_Cleaned[[#This Row],[Revenue]])</f>
        <v>0.2142353796582652</v>
      </c>
    </row>
    <row r="364" spans="1:17" x14ac:dyDescent="0.3">
      <c r="A364">
        <v>3862</v>
      </c>
      <c r="B364" t="s">
        <v>10</v>
      </c>
      <c r="C364" t="s">
        <v>20</v>
      </c>
      <c r="D364" t="s">
        <v>45</v>
      </c>
      <c r="E364" t="s">
        <v>22</v>
      </c>
      <c r="F364">
        <v>1</v>
      </c>
      <c r="G364">
        <v>6202.99</v>
      </c>
      <c r="H364">
        <v>0.61</v>
      </c>
      <c r="I364">
        <v>6202.5999999999995</v>
      </c>
      <c r="J364">
        <v>6202.5999999999995</v>
      </c>
      <c r="K364" s="1">
        <v>45247</v>
      </c>
      <c r="L364" t="s">
        <v>14</v>
      </c>
      <c r="M364" t="s">
        <v>65</v>
      </c>
      <c r="N364">
        <v>3454.42</v>
      </c>
      <c r="O364" t="s">
        <v>75</v>
      </c>
      <c r="P364">
        <v>2023</v>
      </c>
      <c r="Q364">
        <f>IF(Nike_Sales_Cleaned[[#This Row],[Revenue]] = 0, 0, Nike_Sales_Cleaned[[#This Row],[Profit]]/Nike_Sales_Cleaned[[#This Row],[Revenue]])</f>
        <v>0.55693096443426959</v>
      </c>
    </row>
    <row r="365" spans="1:17" x14ac:dyDescent="0.3">
      <c r="A365">
        <v>3871</v>
      </c>
      <c r="B365" t="s">
        <v>15</v>
      </c>
      <c r="C365" t="s">
        <v>11</v>
      </c>
      <c r="D365" t="s">
        <v>12</v>
      </c>
      <c r="E365" t="s">
        <v>25</v>
      </c>
      <c r="F365">
        <v>3</v>
      </c>
      <c r="G365">
        <v>5873.83</v>
      </c>
      <c r="H365">
        <v>0</v>
      </c>
      <c r="I365">
        <v>5872.83</v>
      </c>
      <c r="J365">
        <v>17618.489999999998</v>
      </c>
      <c r="K365" s="1">
        <v>45552</v>
      </c>
      <c r="L365" t="s">
        <v>18</v>
      </c>
      <c r="M365" t="s">
        <v>65</v>
      </c>
      <c r="N365">
        <v>1773.99</v>
      </c>
      <c r="O365" t="s">
        <v>74</v>
      </c>
      <c r="P365">
        <v>2024</v>
      </c>
      <c r="Q365">
        <f>IF(Nike_Sales_Cleaned[[#This Row],[Revenue]] = 0, 0, Nike_Sales_Cleaned[[#This Row],[Profit]]/Nike_Sales_Cleaned[[#This Row],[Revenue]])</f>
        <v>0.10068910559304459</v>
      </c>
    </row>
    <row r="366" spans="1:17" x14ac:dyDescent="0.3">
      <c r="A366">
        <v>3874</v>
      </c>
      <c r="B366" t="s">
        <v>15</v>
      </c>
      <c r="C366" t="s">
        <v>31</v>
      </c>
      <c r="D366" t="s">
        <v>48</v>
      </c>
      <c r="E366" t="s">
        <v>25</v>
      </c>
      <c r="F366">
        <v>4</v>
      </c>
      <c r="G366">
        <v>5355.64</v>
      </c>
      <c r="H366">
        <v>0.7</v>
      </c>
      <c r="I366">
        <v>5355.34</v>
      </c>
      <c r="J366">
        <v>21421.360000000001</v>
      </c>
      <c r="K366" s="1">
        <v>45531</v>
      </c>
      <c r="L366" t="s">
        <v>14</v>
      </c>
      <c r="M366" t="s">
        <v>66</v>
      </c>
      <c r="N366">
        <v>1605.13</v>
      </c>
      <c r="O366" t="s">
        <v>75</v>
      </c>
      <c r="P366">
        <v>2024</v>
      </c>
      <c r="Q366">
        <f>IF(Nike_Sales_Cleaned[[#This Row],[Revenue]] = 0, 0, Nike_Sales_Cleaned[[#This Row],[Profit]]/Nike_Sales_Cleaned[[#This Row],[Revenue]])</f>
        <v>7.4931283541287766E-2</v>
      </c>
    </row>
    <row r="367" spans="1:17" x14ac:dyDescent="0.3">
      <c r="A367">
        <v>3885</v>
      </c>
      <c r="B367" t="s">
        <v>27</v>
      </c>
      <c r="C367" t="s">
        <v>11</v>
      </c>
      <c r="D367" t="s">
        <v>34</v>
      </c>
      <c r="E367" t="s">
        <v>25</v>
      </c>
      <c r="F367">
        <v>2</v>
      </c>
      <c r="G367">
        <v>6186.9950000000008</v>
      </c>
      <c r="H367">
        <v>0</v>
      </c>
      <c r="I367">
        <v>6185.9950000000008</v>
      </c>
      <c r="J367">
        <v>12371.990000000002</v>
      </c>
      <c r="K367" s="1">
        <v>45606</v>
      </c>
      <c r="L367" t="s">
        <v>14</v>
      </c>
      <c r="M367" t="s">
        <v>64</v>
      </c>
      <c r="N367">
        <v>-512.97</v>
      </c>
      <c r="O367" t="s">
        <v>74</v>
      </c>
      <c r="P367">
        <v>2024</v>
      </c>
      <c r="Q367">
        <f>IF(Nike_Sales_Cleaned[[#This Row],[Revenue]] = 0, 0, Nike_Sales_Cleaned[[#This Row],[Profit]]/Nike_Sales_Cleaned[[#This Row],[Revenue]])</f>
        <v>-4.1462206160852048E-2</v>
      </c>
    </row>
    <row r="368" spans="1:17" x14ac:dyDescent="0.3">
      <c r="A368">
        <v>3887</v>
      </c>
      <c r="B368" t="s">
        <v>15</v>
      </c>
      <c r="C368" t="s">
        <v>31</v>
      </c>
      <c r="D368" t="s">
        <v>39</v>
      </c>
      <c r="E368" t="s">
        <v>46</v>
      </c>
      <c r="F368">
        <v>4</v>
      </c>
      <c r="G368">
        <v>7845.46</v>
      </c>
      <c r="H368">
        <v>0</v>
      </c>
      <c r="I368">
        <v>7844.46</v>
      </c>
      <c r="J368">
        <v>31377.84</v>
      </c>
      <c r="K368" s="1">
        <v>45815</v>
      </c>
      <c r="L368" t="s">
        <v>14</v>
      </c>
      <c r="M368" t="s">
        <v>63</v>
      </c>
      <c r="N368">
        <v>3824.51</v>
      </c>
      <c r="O368" t="s">
        <v>74</v>
      </c>
      <c r="P368">
        <v>2025</v>
      </c>
      <c r="Q368">
        <f>IF(Nike_Sales_Cleaned[[#This Row],[Revenue]] = 0, 0, Nike_Sales_Cleaned[[#This Row],[Profit]]/Nike_Sales_Cleaned[[#This Row],[Revenue]])</f>
        <v>0.12188570022665678</v>
      </c>
    </row>
    <row r="369" spans="1:17" x14ac:dyDescent="0.3">
      <c r="A369">
        <v>3898</v>
      </c>
      <c r="B369" t="s">
        <v>27</v>
      </c>
      <c r="C369" t="s">
        <v>31</v>
      </c>
      <c r="D369" t="s">
        <v>48</v>
      </c>
      <c r="E369" t="s">
        <v>22</v>
      </c>
      <c r="F369">
        <v>1</v>
      </c>
      <c r="G369">
        <v>5355.64</v>
      </c>
      <c r="H369">
        <v>7.0000000000000007E-2</v>
      </c>
      <c r="I369">
        <v>5354.71</v>
      </c>
      <c r="J369">
        <v>5354.71</v>
      </c>
      <c r="K369" s="1">
        <v>45715</v>
      </c>
      <c r="L369" t="s">
        <v>18</v>
      </c>
      <c r="M369" t="s">
        <v>61</v>
      </c>
      <c r="N369">
        <v>1353.92</v>
      </c>
      <c r="O369" t="s">
        <v>74</v>
      </c>
      <c r="P369">
        <v>2025</v>
      </c>
      <c r="Q369">
        <f>IF(Nike_Sales_Cleaned[[#This Row],[Revenue]] = 0, 0, Nike_Sales_Cleaned[[#This Row],[Profit]]/Nike_Sales_Cleaned[[#This Row],[Revenue]])</f>
        <v>0.25284655938416833</v>
      </c>
    </row>
    <row r="370" spans="1:17" x14ac:dyDescent="0.3">
      <c r="A370">
        <v>3900</v>
      </c>
      <c r="B370" t="s">
        <v>27</v>
      </c>
      <c r="C370" t="s">
        <v>31</v>
      </c>
      <c r="D370" t="s">
        <v>39</v>
      </c>
      <c r="E370" t="s">
        <v>13</v>
      </c>
      <c r="F370">
        <v>3</v>
      </c>
      <c r="G370">
        <v>7845.46</v>
      </c>
      <c r="H370">
        <v>0</v>
      </c>
      <c r="I370">
        <v>7844.46</v>
      </c>
      <c r="J370">
        <v>23533.38</v>
      </c>
      <c r="K370" s="1">
        <v>45597</v>
      </c>
      <c r="L370" t="s">
        <v>18</v>
      </c>
      <c r="M370" t="s">
        <v>65</v>
      </c>
      <c r="N370">
        <v>-553.29999999999995</v>
      </c>
      <c r="O370" t="s">
        <v>74</v>
      </c>
      <c r="P370">
        <v>2024</v>
      </c>
      <c r="Q370">
        <f>IF(Nike_Sales_Cleaned[[#This Row],[Revenue]] = 0, 0, Nike_Sales_Cleaned[[#This Row],[Profit]]/Nike_Sales_Cleaned[[#This Row],[Revenue]])</f>
        <v>-2.3511284821814797E-2</v>
      </c>
    </row>
    <row r="371" spans="1:17" x14ac:dyDescent="0.3">
      <c r="A371">
        <v>3904</v>
      </c>
      <c r="B371" t="s">
        <v>10</v>
      </c>
      <c r="C371" t="s">
        <v>16</v>
      </c>
      <c r="D371" t="s">
        <v>42</v>
      </c>
      <c r="E371" t="s">
        <v>22</v>
      </c>
      <c r="F371">
        <v>2</v>
      </c>
      <c r="G371">
        <v>5940.3850000000002</v>
      </c>
      <c r="H371">
        <v>0</v>
      </c>
      <c r="I371">
        <v>5939.3850000000002</v>
      </c>
      <c r="J371">
        <v>11878.77</v>
      </c>
      <c r="K371" s="1">
        <v>45805</v>
      </c>
      <c r="L371" t="s">
        <v>18</v>
      </c>
      <c r="M371" t="s">
        <v>64</v>
      </c>
      <c r="N371">
        <v>1143.1099999999999</v>
      </c>
      <c r="O371" t="s">
        <v>74</v>
      </c>
      <c r="P371">
        <v>2025</v>
      </c>
      <c r="Q371">
        <f>IF(Nike_Sales_Cleaned[[#This Row],[Revenue]] = 0, 0, Nike_Sales_Cleaned[[#This Row],[Profit]]/Nike_Sales_Cleaned[[#This Row],[Revenue]])</f>
        <v>9.6231343817583789E-2</v>
      </c>
    </row>
    <row r="372" spans="1:17" x14ac:dyDescent="0.3">
      <c r="A372">
        <v>3906</v>
      </c>
      <c r="B372" t="s">
        <v>27</v>
      </c>
      <c r="C372" t="s">
        <v>20</v>
      </c>
      <c r="D372" t="s">
        <v>45</v>
      </c>
      <c r="E372" t="s">
        <v>25</v>
      </c>
      <c r="F372">
        <v>4</v>
      </c>
      <c r="G372">
        <v>6202.99</v>
      </c>
      <c r="H372">
        <v>0.14000000000000001</v>
      </c>
      <c r="I372">
        <v>6202.13</v>
      </c>
      <c r="J372">
        <v>24808.52</v>
      </c>
      <c r="K372" s="1">
        <v>45539</v>
      </c>
      <c r="L372" t="s">
        <v>14</v>
      </c>
      <c r="M372" t="s">
        <v>61</v>
      </c>
      <c r="N372">
        <v>3435.73</v>
      </c>
      <c r="O372" t="s">
        <v>76</v>
      </c>
      <c r="P372">
        <v>2024</v>
      </c>
      <c r="Q372">
        <f>IF(Nike_Sales_Cleaned[[#This Row],[Revenue]] = 0, 0, Nike_Sales_Cleaned[[#This Row],[Profit]]/Nike_Sales_Cleaned[[#This Row],[Revenue]])</f>
        <v>0.13848992201066407</v>
      </c>
    </row>
    <row r="373" spans="1:17" x14ac:dyDescent="0.3">
      <c r="A373">
        <v>3911</v>
      </c>
      <c r="B373" t="s">
        <v>27</v>
      </c>
      <c r="C373" t="s">
        <v>16</v>
      </c>
      <c r="D373" t="s">
        <v>19</v>
      </c>
      <c r="E373" t="s">
        <v>13</v>
      </c>
      <c r="F373">
        <v>1</v>
      </c>
      <c r="G373">
        <v>5178.83</v>
      </c>
      <c r="H373">
        <v>0</v>
      </c>
      <c r="I373">
        <v>5177.83</v>
      </c>
      <c r="J373">
        <v>5177.83</v>
      </c>
      <c r="K373" s="1">
        <v>45784</v>
      </c>
      <c r="L373" t="s">
        <v>18</v>
      </c>
      <c r="M373" t="s">
        <v>63</v>
      </c>
      <c r="N373">
        <v>3070.67</v>
      </c>
      <c r="O373" t="s">
        <v>74</v>
      </c>
      <c r="P373">
        <v>2025</v>
      </c>
      <c r="Q373">
        <f>IF(Nike_Sales_Cleaned[[#This Row],[Revenue]] = 0, 0, Nike_Sales_Cleaned[[#This Row],[Profit]]/Nike_Sales_Cleaned[[#This Row],[Revenue]])</f>
        <v>0.59304187275364395</v>
      </c>
    </row>
    <row r="374" spans="1:17" x14ac:dyDescent="0.3">
      <c r="A374">
        <v>3913</v>
      </c>
      <c r="B374" t="s">
        <v>10</v>
      </c>
      <c r="C374" t="s">
        <v>11</v>
      </c>
      <c r="D374" t="s">
        <v>41</v>
      </c>
      <c r="E374" t="s">
        <v>25</v>
      </c>
      <c r="F374">
        <v>1</v>
      </c>
      <c r="G374">
        <v>7594.7199999999993</v>
      </c>
      <c r="H374">
        <v>0</v>
      </c>
      <c r="I374">
        <v>7593.7199999999993</v>
      </c>
      <c r="J374">
        <v>7593.7199999999993</v>
      </c>
      <c r="K374" s="1">
        <v>45455</v>
      </c>
      <c r="L374" t="s">
        <v>18</v>
      </c>
      <c r="M374" t="s">
        <v>65</v>
      </c>
      <c r="N374">
        <v>2941.84</v>
      </c>
      <c r="O374" t="s">
        <v>74</v>
      </c>
      <c r="P374">
        <v>2024</v>
      </c>
      <c r="Q374">
        <f>IF(Nike_Sales_Cleaned[[#This Row],[Revenue]] = 0, 0, Nike_Sales_Cleaned[[#This Row],[Profit]]/Nike_Sales_Cleaned[[#This Row],[Revenue]])</f>
        <v>0.38740432884014692</v>
      </c>
    </row>
    <row r="375" spans="1:17" x14ac:dyDescent="0.3">
      <c r="A375">
        <v>3914</v>
      </c>
      <c r="B375" t="s">
        <v>10</v>
      </c>
      <c r="C375" t="s">
        <v>16</v>
      </c>
      <c r="D375" t="s">
        <v>17</v>
      </c>
      <c r="E375" t="s">
        <v>25</v>
      </c>
      <c r="F375">
        <v>2</v>
      </c>
      <c r="G375">
        <v>5234.1550000000007</v>
      </c>
      <c r="H375">
        <v>0</v>
      </c>
      <c r="I375">
        <v>5233.1550000000007</v>
      </c>
      <c r="J375">
        <v>10466.310000000001</v>
      </c>
      <c r="K375" s="1">
        <v>45594</v>
      </c>
      <c r="L375" t="s">
        <v>18</v>
      </c>
      <c r="M375" t="s">
        <v>65</v>
      </c>
      <c r="N375">
        <v>1253.02</v>
      </c>
      <c r="O375" t="s">
        <v>74</v>
      </c>
      <c r="P375">
        <v>2024</v>
      </c>
      <c r="Q375">
        <f>IF(Nike_Sales_Cleaned[[#This Row],[Revenue]] = 0, 0, Nike_Sales_Cleaned[[#This Row],[Profit]]/Nike_Sales_Cleaned[[#This Row],[Revenue]])</f>
        <v>0.11971936623318054</v>
      </c>
    </row>
    <row r="376" spans="1:17" x14ac:dyDescent="0.3">
      <c r="A376">
        <v>3915</v>
      </c>
      <c r="B376" t="s">
        <v>27</v>
      </c>
      <c r="C376" t="s">
        <v>23</v>
      </c>
      <c r="D376" t="s">
        <v>37</v>
      </c>
      <c r="E376" t="s">
        <v>13</v>
      </c>
      <c r="F376">
        <v>2</v>
      </c>
      <c r="G376">
        <v>5620.64</v>
      </c>
      <c r="H376">
        <v>0</v>
      </c>
      <c r="I376">
        <v>5619.64</v>
      </c>
      <c r="J376">
        <v>11239.28</v>
      </c>
      <c r="K376" s="1">
        <v>45728</v>
      </c>
      <c r="L376" t="s">
        <v>14</v>
      </c>
      <c r="M376" t="s">
        <v>62</v>
      </c>
      <c r="N376">
        <v>3067.47</v>
      </c>
      <c r="O376" t="s">
        <v>74</v>
      </c>
      <c r="P376">
        <v>2025</v>
      </c>
      <c r="Q376">
        <f>IF(Nike_Sales_Cleaned[[#This Row],[Revenue]] = 0, 0, Nike_Sales_Cleaned[[#This Row],[Profit]]/Nike_Sales_Cleaned[[#This Row],[Revenue]])</f>
        <v>0.27292406631029742</v>
      </c>
    </row>
    <row r="377" spans="1:17" x14ac:dyDescent="0.3">
      <c r="A377">
        <v>3925</v>
      </c>
      <c r="B377" t="s">
        <v>10</v>
      </c>
      <c r="C377" t="s">
        <v>31</v>
      </c>
      <c r="D377" t="s">
        <v>48</v>
      </c>
      <c r="E377" t="s">
        <v>13</v>
      </c>
      <c r="F377">
        <v>2</v>
      </c>
      <c r="G377">
        <v>5355.64</v>
      </c>
      <c r="H377">
        <v>0.23</v>
      </c>
      <c r="I377">
        <v>5354.87</v>
      </c>
      <c r="J377">
        <v>10709.74</v>
      </c>
      <c r="K377" s="1">
        <v>45766</v>
      </c>
      <c r="L377" t="s">
        <v>18</v>
      </c>
      <c r="M377" t="s">
        <v>61</v>
      </c>
      <c r="N377">
        <v>36.04</v>
      </c>
      <c r="O377" t="s">
        <v>78</v>
      </c>
      <c r="P377">
        <v>2025</v>
      </c>
      <c r="Q377">
        <f>IF(Nike_Sales_Cleaned[[#This Row],[Revenue]] = 0, 0, Nike_Sales_Cleaned[[#This Row],[Profit]]/Nike_Sales_Cleaned[[#This Row],[Revenue]])</f>
        <v>3.3651610589986313E-3</v>
      </c>
    </row>
    <row r="378" spans="1:17" x14ac:dyDescent="0.3">
      <c r="A378">
        <v>3926</v>
      </c>
      <c r="B378" t="s">
        <v>27</v>
      </c>
      <c r="C378" t="s">
        <v>20</v>
      </c>
      <c r="D378" t="s">
        <v>45</v>
      </c>
      <c r="E378" t="s">
        <v>25</v>
      </c>
      <c r="F378">
        <v>2</v>
      </c>
      <c r="G378">
        <v>6202.99</v>
      </c>
      <c r="H378">
        <v>0</v>
      </c>
      <c r="I378">
        <v>6201.99</v>
      </c>
      <c r="J378">
        <v>12403.98</v>
      </c>
      <c r="K378" s="1">
        <v>45604</v>
      </c>
      <c r="L378" t="s">
        <v>14</v>
      </c>
      <c r="M378" t="s">
        <v>63</v>
      </c>
      <c r="N378">
        <v>2972.86</v>
      </c>
      <c r="O378" t="s">
        <v>74</v>
      </c>
      <c r="P378">
        <v>2024</v>
      </c>
      <c r="Q378">
        <f>IF(Nike_Sales_Cleaned[[#This Row],[Revenue]] = 0, 0, Nike_Sales_Cleaned[[#This Row],[Profit]]/Nike_Sales_Cleaned[[#This Row],[Revenue]])</f>
        <v>0.23966984790365675</v>
      </c>
    </row>
    <row r="379" spans="1:17" x14ac:dyDescent="0.3">
      <c r="A379">
        <v>3932</v>
      </c>
      <c r="B379" t="s">
        <v>10</v>
      </c>
      <c r="C379" t="s">
        <v>11</v>
      </c>
      <c r="D379" t="s">
        <v>12</v>
      </c>
      <c r="E379" t="s">
        <v>22</v>
      </c>
      <c r="F379">
        <v>4</v>
      </c>
      <c r="G379">
        <v>5873.83</v>
      </c>
      <c r="H379">
        <v>0.54</v>
      </c>
      <c r="I379">
        <v>5873.37</v>
      </c>
      <c r="J379">
        <v>23493.48</v>
      </c>
      <c r="K379" s="1">
        <v>45818</v>
      </c>
      <c r="L379" t="s">
        <v>18</v>
      </c>
      <c r="M379" t="s">
        <v>64</v>
      </c>
      <c r="N379">
        <v>1289.3599999999999</v>
      </c>
      <c r="O379" t="s">
        <v>75</v>
      </c>
      <c r="P379">
        <v>2025</v>
      </c>
      <c r="Q379">
        <f>IF(Nike_Sales_Cleaned[[#This Row],[Revenue]] = 0, 0, Nike_Sales_Cleaned[[#This Row],[Profit]]/Nike_Sales_Cleaned[[#This Row],[Revenue]])</f>
        <v>5.4881609706182305E-2</v>
      </c>
    </row>
    <row r="380" spans="1:17" x14ac:dyDescent="0.3">
      <c r="A380">
        <v>3933</v>
      </c>
      <c r="B380" t="s">
        <v>27</v>
      </c>
      <c r="C380" t="s">
        <v>11</v>
      </c>
      <c r="D380" t="s">
        <v>12</v>
      </c>
      <c r="E380" t="s">
        <v>25</v>
      </c>
      <c r="F380">
        <v>4</v>
      </c>
      <c r="G380">
        <v>5873.83</v>
      </c>
      <c r="H380">
        <v>0</v>
      </c>
      <c r="I380">
        <v>5872.83</v>
      </c>
      <c r="J380">
        <v>23491.32</v>
      </c>
      <c r="K380" s="1">
        <v>45682</v>
      </c>
      <c r="L380" t="s">
        <v>14</v>
      </c>
      <c r="M380" t="s">
        <v>62</v>
      </c>
      <c r="N380">
        <v>1348.54</v>
      </c>
      <c r="O380" t="s">
        <v>74</v>
      </c>
      <c r="P380">
        <v>2025</v>
      </c>
      <c r="Q380">
        <f>IF(Nike_Sales_Cleaned[[#This Row],[Revenue]] = 0, 0, Nike_Sales_Cleaned[[#This Row],[Profit]]/Nike_Sales_Cleaned[[#This Row],[Revenue]])</f>
        <v>5.7405884386232869E-2</v>
      </c>
    </row>
    <row r="381" spans="1:17" x14ac:dyDescent="0.3">
      <c r="A381">
        <v>3936</v>
      </c>
      <c r="B381" t="s">
        <v>10</v>
      </c>
      <c r="C381" t="s">
        <v>20</v>
      </c>
      <c r="D381" t="s">
        <v>21</v>
      </c>
      <c r="E381" t="s">
        <v>13</v>
      </c>
      <c r="F381">
        <v>3</v>
      </c>
      <c r="G381">
        <v>4904.79</v>
      </c>
      <c r="H381">
        <v>0</v>
      </c>
      <c r="I381">
        <v>4903.79</v>
      </c>
      <c r="J381">
        <v>14711.369999999999</v>
      </c>
      <c r="K381" s="1">
        <v>45135</v>
      </c>
      <c r="L381" t="s">
        <v>18</v>
      </c>
      <c r="M381" t="s">
        <v>62</v>
      </c>
      <c r="N381">
        <v>1983.5</v>
      </c>
      <c r="O381" t="s">
        <v>74</v>
      </c>
      <c r="P381">
        <v>2023</v>
      </c>
      <c r="Q381">
        <f>IF(Nike_Sales_Cleaned[[#This Row],[Revenue]] = 0, 0, Nike_Sales_Cleaned[[#This Row],[Profit]]/Nike_Sales_Cleaned[[#This Row],[Revenue]])</f>
        <v>0.13482768770005785</v>
      </c>
    </row>
    <row r="382" spans="1:17" x14ac:dyDescent="0.3">
      <c r="A382">
        <v>3942</v>
      </c>
      <c r="B382" t="s">
        <v>27</v>
      </c>
      <c r="C382" t="s">
        <v>20</v>
      </c>
      <c r="D382" t="s">
        <v>21</v>
      </c>
      <c r="E382" t="s">
        <v>13</v>
      </c>
      <c r="F382">
        <v>1</v>
      </c>
      <c r="G382">
        <v>4904.79</v>
      </c>
      <c r="H382">
        <v>0</v>
      </c>
      <c r="I382">
        <v>4903.79</v>
      </c>
      <c r="J382">
        <v>4903.79</v>
      </c>
      <c r="K382" s="1">
        <v>45409</v>
      </c>
      <c r="L382" t="s">
        <v>14</v>
      </c>
      <c r="M382" t="s">
        <v>65</v>
      </c>
      <c r="N382">
        <v>-938.81</v>
      </c>
      <c r="O382" t="s">
        <v>74</v>
      </c>
      <c r="P382">
        <v>2024</v>
      </c>
      <c r="Q382">
        <f>IF(Nike_Sales_Cleaned[[#This Row],[Revenue]] = 0, 0, Nike_Sales_Cleaned[[#This Row],[Profit]]/Nike_Sales_Cleaned[[#This Row],[Revenue]])</f>
        <v>-0.19144580008524018</v>
      </c>
    </row>
    <row r="383" spans="1:17" x14ac:dyDescent="0.3">
      <c r="A383">
        <v>2042</v>
      </c>
      <c r="B383" t="s">
        <v>10</v>
      </c>
      <c r="C383" t="s">
        <v>16</v>
      </c>
      <c r="D383" t="s">
        <v>17</v>
      </c>
      <c r="E383" t="s">
        <v>22</v>
      </c>
      <c r="F383">
        <v>4</v>
      </c>
      <c r="G383">
        <v>5234.1550000000007</v>
      </c>
      <c r="H383">
        <v>0</v>
      </c>
      <c r="I383">
        <v>5233.1550000000007</v>
      </c>
      <c r="J383">
        <v>20932.620000000003</v>
      </c>
      <c r="K383" s="1">
        <v>45656</v>
      </c>
      <c r="L383" t="s">
        <v>14</v>
      </c>
      <c r="M383" t="s">
        <v>65</v>
      </c>
      <c r="N383">
        <v>-84.8</v>
      </c>
      <c r="O383" t="s">
        <v>74</v>
      </c>
      <c r="P383">
        <v>2024</v>
      </c>
      <c r="Q383">
        <f>IF(Nike_Sales_Cleaned[[#This Row],[Revenue]] = 0, 0, Nike_Sales_Cleaned[[#This Row],[Profit]]/Nike_Sales_Cleaned[[#This Row],[Revenue]])</f>
        <v>-4.0510934608281235E-3</v>
      </c>
    </row>
    <row r="384" spans="1:17" x14ac:dyDescent="0.3">
      <c r="A384">
        <v>3955</v>
      </c>
      <c r="B384" t="s">
        <v>10</v>
      </c>
      <c r="C384" t="s">
        <v>11</v>
      </c>
      <c r="D384" t="s">
        <v>12</v>
      </c>
      <c r="E384" t="s">
        <v>25</v>
      </c>
      <c r="F384">
        <v>3</v>
      </c>
      <c r="G384">
        <v>5873.83</v>
      </c>
      <c r="H384">
        <v>0</v>
      </c>
      <c r="I384">
        <v>5872.83</v>
      </c>
      <c r="J384">
        <v>17618.489999999998</v>
      </c>
      <c r="K384" s="1">
        <v>45673</v>
      </c>
      <c r="L384" t="s">
        <v>18</v>
      </c>
      <c r="M384" t="s">
        <v>62</v>
      </c>
      <c r="N384">
        <v>1798.76</v>
      </c>
      <c r="O384" t="s">
        <v>74</v>
      </c>
      <c r="P384">
        <v>2025</v>
      </c>
      <c r="Q384">
        <f>IF(Nike_Sales_Cleaned[[#This Row],[Revenue]] = 0, 0, Nike_Sales_Cleaned[[#This Row],[Profit]]/Nike_Sales_Cleaned[[#This Row],[Revenue]])</f>
        <v>0.10209501495304082</v>
      </c>
    </row>
    <row r="385" spans="1:17" x14ac:dyDescent="0.3">
      <c r="A385">
        <v>3959</v>
      </c>
      <c r="B385" t="s">
        <v>10</v>
      </c>
      <c r="C385" t="s">
        <v>20</v>
      </c>
      <c r="D385" t="s">
        <v>45</v>
      </c>
      <c r="E385" t="s">
        <v>13</v>
      </c>
      <c r="F385">
        <v>4</v>
      </c>
      <c r="G385">
        <v>6202.99</v>
      </c>
      <c r="H385">
        <v>0</v>
      </c>
      <c r="I385">
        <v>6201.99</v>
      </c>
      <c r="J385">
        <v>24807.96</v>
      </c>
      <c r="K385" s="1">
        <v>45669</v>
      </c>
      <c r="L385" t="s">
        <v>18</v>
      </c>
      <c r="M385" t="s">
        <v>63</v>
      </c>
      <c r="N385">
        <v>2494.96</v>
      </c>
      <c r="O385" t="s">
        <v>74</v>
      </c>
      <c r="P385">
        <v>2025</v>
      </c>
      <c r="Q385">
        <f>IF(Nike_Sales_Cleaned[[#This Row],[Revenue]] = 0, 0, Nike_Sales_Cleaned[[#This Row],[Profit]]/Nike_Sales_Cleaned[[#This Row],[Revenue]])</f>
        <v>0.10057094577708123</v>
      </c>
    </row>
    <row r="386" spans="1:17" x14ac:dyDescent="0.3">
      <c r="A386">
        <v>3972</v>
      </c>
      <c r="B386" t="s">
        <v>27</v>
      </c>
      <c r="C386" t="s">
        <v>23</v>
      </c>
      <c r="D386" t="s">
        <v>43</v>
      </c>
      <c r="E386" t="s">
        <v>25</v>
      </c>
      <c r="F386">
        <v>1</v>
      </c>
      <c r="G386">
        <v>6577.39</v>
      </c>
      <c r="H386">
        <v>0</v>
      </c>
      <c r="I386">
        <v>6576.39</v>
      </c>
      <c r="J386">
        <v>6576.39</v>
      </c>
      <c r="K386" s="1">
        <v>45646</v>
      </c>
      <c r="L386" t="s">
        <v>18</v>
      </c>
      <c r="M386" t="s">
        <v>64</v>
      </c>
      <c r="N386">
        <v>1990.32</v>
      </c>
      <c r="O386" t="s">
        <v>74</v>
      </c>
      <c r="P386">
        <v>2024</v>
      </c>
      <c r="Q386">
        <f>IF(Nike_Sales_Cleaned[[#This Row],[Revenue]] = 0, 0, Nike_Sales_Cleaned[[#This Row],[Profit]]/Nike_Sales_Cleaned[[#This Row],[Revenue]])</f>
        <v>0.30264628466377447</v>
      </c>
    </row>
    <row r="387" spans="1:17" x14ac:dyDescent="0.3">
      <c r="A387">
        <v>3974</v>
      </c>
      <c r="B387" t="s">
        <v>27</v>
      </c>
      <c r="C387" t="s">
        <v>20</v>
      </c>
      <c r="D387" t="s">
        <v>45</v>
      </c>
      <c r="E387" t="s">
        <v>22</v>
      </c>
      <c r="F387">
        <v>4</v>
      </c>
      <c r="G387">
        <v>6202.99</v>
      </c>
      <c r="H387">
        <v>0</v>
      </c>
      <c r="I387">
        <v>6201.99</v>
      </c>
      <c r="J387">
        <v>24807.96</v>
      </c>
      <c r="K387" s="1">
        <v>45373</v>
      </c>
      <c r="L387" t="s">
        <v>18</v>
      </c>
      <c r="M387" t="s">
        <v>65</v>
      </c>
      <c r="N387">
        <v>97.6</v>
      </c>
      <c r="O387" t="s">
        <v>74</v>
      </c>
      <c r="P387">
        <v>2024</v>
      </c>
      <c r="Q387">
        <f>IF(Nike_Sales_Cleaned[[#This Row],[Revenue]] = 0, 0, Nike_Sales_Cleaned[[#This Row],[Profit]]/Nike_Sales_Cleaned[[#This Row],[Revenue]])</f>
        <v>3.9342211129008596E-3</v>
      </c>
    </row>
    <row r="388" spans="1:17" x14ac:dyDescent="0.3">
      <c r="A388">
        <v>3975</v>
      </c>
      <c r="B388" t="s">
        <v>15</v>
      </c>
      <c r="C388" t="s">
        <v>16</v>
      </c>
      <c r="D388" t="s">
        <v>17</v>
      </c>
      <c r="E388" t="s">
        <v>13</v>
      </c>
      <c r="F388">
        <v>3</v>
      </c>
      <c r="G388">
        <v>5234.1550000000007</v>
      </c>
      <c r="H388">
        <v>0</v>
      </c>
      <c r="I388">
        <v>5233.1550000000007</v>
      </c>
      <c r="J388">
        <v>15699.465000000002</v>
      </c>
      <c r="K388" s="1">
        <v>45738</v>
      </c>
      <c r="L388" t="s">
        <v>18</v>
      </c>
      <c r="M388" t="s">
        <v>63</v>
      </c>
      <c r="N388">
        <v>1293.3800000000001</v>
      </c>
      <c r="O388" t="s">
        <v>74</v>
      </c>
      <c r="P388">
        <v>2025</v>
      </c>
      <c r="Q388">
        <f>IF(Nike_Sales_Cleaned[[#This Row],[Revenue]] = 0, 0, Nike_Sales_Cleaned[[#This Row],[Profit]]/Nike_Sales_Cleaned[[#This Row],[Revenue]])</f>
        <v>8.2383699062356583E-2</v>
      </c>
    </row>
    <row r="389" spans="1:17" x14ac:dyDescent="0.3">
      <c r="A389">
        <v>3979</v>
      </c>
      <c r="B389" t="s">
        <v>27</v>
      </c>
      <c r="C389" t="s">
        <v>11</v>
      </c>
      <c r="D389" t="s">
        <v>41</v>
      </c>
      <c r="E389" t="s">
        <v>13</v>
      </c>
      <c r="F389">
        <v>3</v>
      </c>
      <c r="G389">
        <v>7594.7199999999993</v>
      </c>
      <c r="H389">
        <v>0.5</v>
      </c>
      <c r="I389">
        <v>7594.2199999999993</v>
      </c>
      <c r="J389">
        <v>22782.659999999996</v>
      </c>
      <c r="K389" s="1">
        <v>45819</v>
      </c>
      <c r="L389" t="s">
        <v>14</v>
      </c>
      <c r="M389" t="s">
        <v>62</v>
      </c>
      <c r="N389">
        <v>896.9</v>
      </c>
      <c r="O389" t="s">
        <v>77</v>
      </c>
      <c r="P389">
        <v>2025</v>
      </c>
      <c r="Q389">
        <f>IF(Nike_Sales_Cleaned[[#This Row],[Revenue]] = 0, 0, Nike_Sales_Cleaned[[#This Row],[Profit]]/Nike_Sales_Cleaned[[#This Row],[Revenue]])</f>
        <v>3.9367659439240199E-2</v>
      </c>
    </row>
    <row r="390" spans="1:17" x14ac:dyDescent="0.3">
      <c r="A390">
        <v>3986</v>
      </c>
      <c r="B390" t="s">
        <v>10</v>
      </c>
      <c r="C390" t="s">
        <v>23</v>
      </c>
      <c r="D390" t="s">
        <v>35</v>
      </c>
      <c r="E390" t="s">
        <v>22</v>
      </c>
      <c r="F390">
        <v>1</v>
      </c>
      <c r="G390">
        <v>5282.31</v>
      </c>
      <c r="H390">
        <v>0</v>
      </c>
      <c r="I390">
        <v>5281.31</v>
      </c>
      <c r="J390">
        <v>5281.31</v>
      </c>
      <c r="K390" s="1">
        <v>45606</v>
      </c>
      <c r="L390" t="s">
        <v>18</v>
      </c>
      <c r="M390" t="s">
        <v>63</v>
      </c>
      <c r="N390">
        <v>681.84</v>
      </c>
      <c r="O390" t="s">
        <v>74</v>
      </c>
      <c r="P390">
        <v>2024</v>
      </c>
      <c r="Q390">
        <f>IF(Nike_Sales_Cleaned[[#This Row],[Revenue]] = 0, 0, Nike_Sales_Cleaned[[#This Row],[Profit]]/Nike_Sales_Cleaned[[#This Row],[Revenue]])</f>
        <v>0.12910433206912678</v>
      </c>
    </row>
    <row r="391" spans="1:17" x14ac:dyDescent="0.3">
      <c r="A391">
        <v>3987</v>
      </c>
      <c r="B391" t="s">
        <v>10</v>
      </c>
      <c r="C391" t="s">
        <v>31</v>
      </c>
      <c r="D391" t="s">
        <v>39</v>
      </c>
      <c r="E391" t="s">
        <v>22</v>
      </c>
      <c r="F391">
        <v>2</v>
      </c>
      <c r="G391">
        <v>7845.46</v>
      </c>
      <c r="H391">
        <v>0</v>
      </c>
      <c r="I391">
        <v>7844.46</v>
      </c>
      <c r="J391">
        <v>15688.92</v>
      </c>
      <c r="K391" s="1">
        <v>45522</v>
      </c>
      <c r="L391" t="s">
        <v>18</v>
      </c>
      <c r="M391" t="s">
        <v>61</v>
      </c>
      <c r="N391">
        <v>3908.61</v>
      </c>
      <c r="O391" t="s">
        <v>74</v>
      </c>
      <c r="P391">
        <v>2024</v>
      </c>
      <c r="Q391">
        <f>IF(Nike_Sales_Cleaned[[#This Row],[Revenue]] = 0, 0, Nike_Sales_Cleaned[[#This Row],[Profit]]/Nike_Sales_Cleaned[[#This Row],[Revenue]])</f>
        <v>0.24913187140988674</v>
      </c>
    </row>
    <row r="392" spans="1:17" x14ac:dyDescent="0.3">
      <c r="A392">
        <v>3988</v>
      </c>
      <c r="B392" t="s">
        <v>10</v>
      </c>
      <c r="C392" t="s">
        <v>20</v>
      </c>
      <c r="D392" t="s">
        <v>21</v>
      </c>
      <c r="E392" t="s">
        <v>13</v>
      </c>
      <c r="F392">
        <v>4</v>
      </c>
      <c r="G392">
        <v>4904.79</v>
      </c>
      <c r="H392">
        <v>0.67</v>
      </c>
      <c r="I392">
        <v>4904.46</v>
      </c>
      <c r="J392">
        <v>19617.84</v>
      </c>
      <c r="K392" s="1">
        <v>45575</v>
      </c>
      <c r="L392" t="s">
        <v>14</v>
      </c>
      <c r="M392" t="s">
        <v>62</v>
      </c>
      <c r="N392">
        <v>3698.62</v>
      </c>
      <c r="O392" t="s">
        <v>75</v>
      </c>
      <c r="P392">
        <v>2024</v>
      </c>
      <c r="Q392">
        <f>IF(Nike_Sales_Cleaned[[#This Row],[Revenue]] = 0, 0, Nike_Sales_Cleaned[[#This Row],[Profit]]/Nike_Sales_Cleaned[[#This Row],[Revenue]])</f>
        <v>0.18853349808133821</v>
      </c>
    </row>
    <row r="393" spans="1:17" x14ac:dyDescent="0.3">
      <c r="A393">
        <v>3997</v>
      </c>
      <c r="B393" t="s">
        <v>15</v>
      </c>
      <c r="C393" t="s">
        <v>20</v>
      </c>
      <c r="D393" t="s">
        <v>30</v>
      </c>
      <c r="E393" t="s">
        <v>13</v>
      </c>
      <c r="F393">
        <v>4</v>
      </c>
      <c r="G393">
        <v>6216.29</v>
      </c>
      <c r="H393">
        <v>0</v>
      </c>
      <c r="I393">
        <v>6215.29</v>
      </c>
      <c r="J393">
        <v>24861.16</v>
      </c>
      <c r="K393" s="1">
        <v>45315</v>
      </c>
      <c r="L393" t="s">
        <v>18</v>
      </c>
      <c r="M393" t="s">
        <v>61</v>
      </c>
      <c r="N393">
        <v>-484.62</v>
      </c>
      <c r="O393" t="s">
        <v>74</v>
      </c>
      <c r="P393">
        <v>2024</v>
      </c>
      <c r="Q393">
        <f>IF(Nike_Sales_Cleaned[[#This Row],[Revenue]] = 0, 0, Nike_Sales_Cleaned[[#This Row],[Profit]]/Nike_Sales_Cleaned[[#This Row],[Revenue]])</f>
        <v>-1.9493056639352309E-2</v>
      </c>
    </row>
    <row r="394" spans="1:17" x14ac:dyDescent="0.3">
      <c r="A394">
        <v>4008</v>
      </c>
      <c r="B394" t="s">
        <v>27</v>
      </c>
      <c r="C394" t="s">
        <v>31</v>
      </c>
      <c r="D394" t="s">
        <v>48</v>
      </c>
      <c r="E394" t="s">
        <v>33</v>
      </c>
      <c r="F394">
        <v>3</v>
      </c>
      <c r="G394">
        <v>5355.64</v>
      </c>
      <c r="H394">
        <v>7.0000000000000007E-2</v>
      </c>
      <c r="I394">
        <v>5354.71</v>
      </c>
      <c r="J394">
        <v>16064.130000000001</v>
      </c>
      <c r="K394" s="1">
        <v>45275</v>
      </c>
      <c r="L394" t="s">
        <v>18</v>
      </c>
      <c r="M394" t="s">
        <v>61</v>
      </c>
      <c r="N394">
        <v>180.31</v>
      </c>
      <c r="O394" t="s">
        <v>74</v>
      </c>
      <c r="P394">
        <v>2023</v>
      </c>
      <c r="Q394">
        <f>IF(Nike_Sales_Cleaned[[#This Row],[Revenue]] = 0, 0, Nike_Sales_Cleaned[[#This Row],[Profit]]/Nike_Sales_Cleaned[[#This Row],[Revenue]])</f>
        <v>1.1224386256834326E-2</v>
      </c>
    </row>
    <row r="395" spans="1:17" x14ac:dyDescent="0.3">
      <c r="A395">
        <v>4011</v>
      </c>
      <c r="B395" t="s">
        <v>15</v>
      </c>
      <c r="C395" t="s">
        <v>23</v>
      </c>
      <c r="D395" t="s">
        <v>35</v>
      </c>
      <c r="E395" t="s">
        <v>13</v>
      </c>
      <c r="F395">
        <v>4</v>
      </c>
      <c r="G395">
        <v>5282.31</v>
      </c>
      <c r="H395">
        <v>0</v>
      </c>
      <c r="I395">
        <v>5281.31</v>
      </c>
      <c r="J395">
        <v>21125.24</v>
      </c>
      <c r="K395" s="1">
        <v>45842</v>
      </c>
      <c r="L395" t="s">
        <v>18</v>
      </c>
      <c r="M395" t="s">
        <v>64</v>
      </c>
      <c r="N395">
        <v>2934.53</v>
      </c>
      <c r="O395" t="s">
        <v>74</v>
      </c>
      <c r="P395">
        <v>2025</v>
      </c>
      <c r="Q395">
        <f>IF(Nike_Sales_Cleaned[[#This Row],[Revenue]] = 0, 0, Nike_Sales_Cleaned[[#This Row],[Profit]]/Nike_Sales_Cleaned[[#This Row],[Revenue]])</f>
        <v>0.13891108456045942</v>
      </c>
    </row>
    <row r="396" spans="1:17" x14ac:dyDescent="0.3">
      <c r="A396">
        <v>4013</v>
      </c>
      <c r="B396" t="s">
        <v>15</v>
      </c>
      <c r="C396" t="s">
        <v>31</v>
      </c>
      <c r="D396" t="s">
        <v>48</v>
      </c>
      <c r="E396" t="s">
        <v>46</v>
      </c>
      <c r="F396">
        <v>2</v>
      </c>
      <c r="G396">
        <v>5355.64</v>
      </c>
      <c r="H396">
        <v>0</v>
      </c>
      <c r="I396">
        <v>5354.64</v>
      </c>
      <c r="J396">
        <v>10709.28</v>
      </c>
      <c r="K396" s="1">
        <v>45842</v>
      </c>
      <c r="L396" t="s">
        <v>14</v>
      </c>
      <c r="M396" t="s">
        <v>61</v>
      </c>
      <c r="N396">
        <v>1398.9</v>
      </c>
      <c r="O396" t="s">
        <v>74</v>
      </c>
      <c r="P396">
        <v>2025</v>
      </c>
      <c r="Q396">
        <f>IF(Nike_Sales_Cleaned[[#This Row],[Revenue]] = 0, 0, Nike_Sales_Cleaned[[#This Row],[Profit]]/Nike_Sales_Cleaned[[#This Row],[Revenue]])</f>
        <v>0.1306250280130877</v>
      </c>
    </row>
    <row r="397" spans="1:17" x14ac:dyDescent="0.3">
      <c r="A397">
        <v>4015</v>
      </c>
      <c r="B397" t="s">
        <v>27</v>
      </c>
      <c r="C397" t="s">
        <v>20</v>
      </c>
      <c r="D397" t="s">
        <v>47</v>
      </c>
      <c r="E397" t="s">
        <v>22</v>
      </c>
      <c r="F397">
        <v>4</v>
      </c>
      <c r="G397">
        <v>6010.71</v>
      </c>
      <c r="H397">
        <v>0</v>
      </c>
      <c r="I397">
        <v>6009.71</v>
      </c>
      <c r="J397">
        <v>24038.84</v>
      </c>
      <c r="K397" s="1">
        <v>45843</v>
      </c>
      <c r="L397" t="s">
        <v>14</v>
      </c>
      <c r="M397" t="s">
        <v>64</v>
      </c>
      <c r="N397">
        <v>1194.93</v>
      </c>
      <c r="O397" t="s">
        <v>74</v>
      </c>
      <c r="P397">
        <v>2025</v>
      </c>
      <c r="Q397">
        <f>IF(Nike_Sales_Cleaned[[#This Row],[Revenue]] = 0, 0, Nike_Sales_Cleaned[[#This Row],[Profit]]/Nike_Sales_Cleaned[[#This Row],[Revenue]])</f>
        <v>4.9708305392439901E-2</v>
      </c>
    </row>
    <row r="398" spans="1:17" x14ac:dyDescent="0.3">
      <c r="A398">
        <v>2020</v>
      </c>
      <c r="B398" t="s">
        <v>27</v>
      </c>
      <c r="C398" t="s">
        <v>23</v>
      </c>
      <c r="D398" t="s">
        <v>35</v>
      </c>
      <c r="E398" t="s">
        <v>40</v>
      </c>
      <c r="F398">
        <v>2</v>
      </c>
      <c r="G398">
        <v>5282.31</v>
      </c>
      <c r="H398">
        <v>0</v>
      </c>
      <c r="I398">
        <v>5281.31</v>
      </c>
      <c r="J398">
        <v>10562.62</v>
      </c>
      <c r="K398" s="1">
        <v>45721</v>
      </c>
      <c r="L398" t="s">
        <v>14</v>
      </c>
      <c r="M398" t="s">
        <v>66</v>
      </c>
      <c r="N398">
        <v>671.98</v>
      </c>
      <c r="O398" t="s">
        <v>74</v>
      </c>
      <c r="P398">
        <v>2025</v>
      </c>
      <c r="Q398">
        <f>IF(Nike_Sales_Cleaned[[#This Row],[Revenue]] = 0, 0, Nike_Sales_Cleaned[[#This Row],[Profit]]/Nike_Sales_Cleaned[[#This Row],[Revenue]])</f>
        <v>6.3618685515525505E-2</v>
      </c>
    </row>
    <row r="399" spans="1:17" x14ac:dyDescent="0.3">
      <c r="A399">
        <v>4053</v>
      </c>
      <c r="B399" t="s">
        <v>15</v>
      </c>
      <c r="C399" t="s">
        <v>16</v>
      </c>
      <c r="D399" t="s">
        <v>42</v>
      </c>
      <c r="E399" t="s">
        <v>36</v>
      </c>
      <c r="F399">
        <v>2</v>
      </c>
      <c r="G399">
        <v>5940.3850000000002</v>
      </c>
      <c r="H399">
        <v>0</v>
      </c>
      <c r="I399">
        <v>5939.3850000000002</v>
      </c>
      <c r="J399">
        <v>11878.77</v>
      </c>
      <c r="K399" s="1">
        <v>45718</v>
      </c>
      <c r="L399" t="s">
        <v>18</v>
      </c>
      <c r="M399" t="s">
        <v>62</v>
      </c>
      <c r="N399">
        <v>21.13</v>
      </c>
      <c r="O399" t="s">
        <v>74</v>
      </c>
      <c r="P399">
        <v>2025</v>
      </c>
      <c r="Q399">
        <f>IF(Nike_Sales_Cleaned[[#This Row],[Revenue]] = 0, 0, Nike_Sales_Cleaned[[#This Row],[Profit]]/Nike_Sales_Cleaned[[#This Row],[Revenue]])</f>
        <v>1.7788036976892387E-3</v>
      </c>
    </row>
    <row r="400" spans="1:17" x14ac:dyDescent="0.3">
      <c r="A400">
        <v>4064</v>
      </c>
      <c r="B400" t="s">
        <v>27</v>
      </c>
      <c r="C400" t="s">
        <v>31</v>
      </c>
      <c r="D400" t="s">
        <v>32</v>
      </c>
      <c r="E400" t="s">
        <v>22</v>
      </c>
      <c r="F400">
        <v>4</v>
      </c>
      <c r="G400">
        <v>5981.92</v>
      </c>
      <c r="H400">
        <v>0.38</v>
      </c>
      <c r="I400">
        <v>5981.3</v>
      </c>
      <c r="J400">
        <v>23925.200000000001</v>
      </c>
      <c r="K400" s="1">
        <v>45559</v>
      </c>
      <c r="L400" t="s">
        <v>18</v>
      </c>
      <c r="M400" t="s">
        <v>61</v>
      </c>
      <c r="N400">
        <v>587.63</v>
      </c>
      <c r="O400" t="s">
        <v>77</v>
      </c>
      <c r="P400">
        <v>2024</v>
      </c>
      <c r="Q400">
        <f>IF(Nike_Sales_Cleaned[[#This Row],[Revenue]] = 0, 0, Nike_Sales_Cleaned[[#This Row],[Profit]]/Nike_Sales_Cleaned[[#This Row],[Revenue]])</f>
        <v>2.4561132195342148E-2</v>
      </c>
    </row>
    <row r="401" spans="1:17" x14ac:dyDescent="0.3">
      <c r="A401">
        <v>4066</v>
      </c>
      <c r="B401" t="s">
        <v>10</v>
      </c>
      <c r="C401" t="s">
        <v>23</v>
      </c>
      <c r="D401" t="s">
        <v>24</v>
      </c>
      <c r="E401" t="s">
        <v>22</v>
      </c>
      <c r="F401">
        <v>4</v>
      </c>
      <c r="G401">
        <v>7557.71</v>
      </c>
      <c r="H401">
        <v>0.85</v>
      </c>
      <c r="I401">
        <v>7557.56</v>
      </c>
      <c r="J401">
        <v>30230.240000000002</v>
      </c>
      <c r="K401" s="1">
        <v>45837</v>
      </c>
      <c r="L401" t="s">
        <v>18</v>
      </c>
      <c r="M401" t="s">
        <v>64</v>
      </c>
      <c r="N401">
        <v>3344.47</v>
      </c>
      <c r="O401" t="s">
        <v>75</v>
      </c>
      <c r="P401">
        <v>2025</v>
      </c>
      <c r="Q401">
        <f>IF(Nike_Sales_Cleaned[[#This Row],[Revenue]] = 0, 0, Nike_Sales_Cleaned[[#This Row],[Profit]]/Nike_Sales_Cleaned[[#This Row],[Revenue]])</f>
        <v>0.11063325994103916</v>
      </c>
    </row>
    <row r="402" spans="1:17" x14ac:dyDescent="0.3">
      <c r="A402">
        <v>4067</v>
      </c>
      <c r="B402" t="s">
        <v>27</v>
      </c>
      <c r="C402" t="s">
        <v>16</v>
      </c>
      <c r="D402" t="s">
        <v>29</v>
      </c>
      <c r="E402" t="s">
        <v>13</v>
      </c>
      <c r="F402">
        <v>4</v>
      </c>
      <c r="G402">
        <v>6880.21</v>
      </c>
      <c r="H402">
        <v>0</v>
      </c>
      <c r="I402">
        <v>6879.21</v>
      </c>
      <c r="J402">
        <v>27516.84</v>
      </c>
      <c r="K402" s="1">
        <v>45794</v>
      </c>
      <c r="L402" t="s">
        <v>14</v>
      </c>
      <c r="M402" t="s">
        <v>64</v>
      </c>
      <c r="N402">
        <v>1974.4</v>
      </c>
      <c r="O402" t="s">
        <v>74</v>
      </c>
      <c r="P402">
        <v>2025</v>
      </c>
      <c r="Q402">
        <f>IF(Nike_Sales_Cleaned[[#This Row],[Revenue]] = 0, 0, Nike_Sales_Cleaned[[#This Row],[Profit]]/Nike_Sales_Cleaned[[#This Row],[Revenue]])</f>
        <v>7.1752425060435721E-2</v>
      </c>
    </row>
    <row r="403" spans="1:17" x14ac:dyDescent="0.3">
      <c r="A403">
        <v>4073</v>
      </c>
      <c r="B403" t="s">
        <v>10</v>
      </c>
      <c r="C403" t="s">
        <v>11</v>
      </c>
      <c r="D403" t="s">
        <v>26</v>
      </c>
      <c r="E403" t="s">
        <v>13</v>
      </c>
      <c r="F403">
        <v>2</v>
      </c>
      <c r="G403">
        <v>5649.73</v>
      </c>
      <c r="H403">
        <v>0</v>
      </c>
      <c r="I403">
        <v>5648.73</v>
      </c>
      <c r="J403">
        <v>11297.46</v>
      </c>
      <c r="K403" s="1">
        <v>45626</v>
      </c>
      <c r="L403" t="s">
        <v>14</v>
      </c>
      <c r="M403" t="s">
        <v>66</v>
      </c>
      <c r="N403">
        <v>3353.3</v>
      </c>
      <c r="O403" t="s">
        <v>74</v>
      </c>
      <c r="P403">
        <v>2024</v>
      </c>
      <c r="Q403">
        <f>IF(Nike_Sales_Cleaned[[#This Row],[Revenue]] = 0, 0, Nike_Sales_Cleaned[[#This Row],[Profit]]/Nike_Sales_Cleaned[[#This Row],[Revenue]])</f>
        <v>0.29681893098094619</v>
      </c>
    </row>
    <row r="404" spans="1:17" x14ac:dyDescent="0.3">
      <c r="A404">
        <v>4086</v>
      </c>
      <c r="B404" t="s">
        <v>15</v>
      </c>
      <c r="C404" t="s">
        <v>23</v>
      </c>
      <c r="D404" t="s">
        <v>35</v>
      </c>
      <c r="E404" t="s">
        <v>25</v>
      </c>
      <c r="F404">
        <v>3</v>
      </c>
      <c r="G404">
        <v>5282.31</v>
      </c>
      <c r="H404">
        <v>0</v>
      </c>
      <c r="I404">
        <v>5281.31</v>
      </c>
      <c r="J404">
        <v>15843.93</v>
      </c>
      <c r="K404" s="1">
        <v>45750</v>
      </c>
      <c r="L404" t="s">
        <v>14</v>
      </c>
      <c r="M404" t="s">
        <v>62</v>
      </c>
      <c r="N404">
        <v>-195</v>
      </c>
      <c r="O404" t="s">
        <v>74</v>
      </c>
      <c r="P404">
        <v>2025</v>
      </c>
      <c r="Q404">
        <f>IF(Nike_Sales_Cleaned[[#This Row],[Revenue]] = 0, 0, Nike_Sales_Cleaned[[#This Row],[Profit]]/Nike_Sales_Cleaned[[#This Row],[Revenue]])</f>
        <v>-1.2307552482243989E-2</v>
      </c>
    </row>
    <row r="405" spans="1:17" x14ac:dyDescent="0.3">
      <c r="A405">
        <v>4088</v>
      </c>
      <c r="B405" t="s">
        <v>27</v>
      </c>
      <c r="C405" t="s">
        <v>11</v>
      </c>
      <c r="D405" t="s">
        <v>26</v>
      </c>
      <c r="E405" t="s">
        <v>13</v>
      </c>
      <c r="F405">
        <v>2</v>
      </c>
      <c r="G405">
        <v>5649.73</v>
      </c>
      <c r="H405">
        <v>0.41</v>
      </c>
      <c r="I405">
        <v>5649.1399999999994</v>
      </c>
      <c r="J405">
        <v>11298.279999999999</v>
      </c>
      <c r="K405" s="1">
        <v>45732</v>
      </c>
      <c r="L405" t="s">
        <v>18</v>
      </c>
      <c r="M405" t="s">
        <v>63</v>
      </c>
      <c r="N405">
        <v>1548.1</v>
      </c>
      <c r="O405" t="s">
        <v>77</v>
      </c>
      <c r="P405">
        <v>2025</v>
      </c>
      <c r="Q405">
        <f>IF(Nike_Sales_Cleaned[[#This Row],[Revenue]] = 0, 0, Nike_Sales_Cleaned[[#This Row],[Profit]]/Nike_Sales_Cleaned[[#This Row],[Revenue]])</f>
        <v>0.13702085627192812</v>
      </c>
    </row>
    <row r="406" spans="1:17" x14ac:dyDescent="0.3">
      <c r="A406">
        <v>4104</v>
      </c>
      <c r="B406" t="s">
        <v>10</v>
      </c>
      <c r="C406" t="s">
        <v>31</v>
      </c>
      <c r="D406" t="s">
        <v>39</v>
      </c>
      <c r="E406" t="s">
        <v>28</v>
      </c>
      <c r="F406">
        <v>2</v>
      </c>
      <c r="G406">
        <v>7845.46</v>
      </c>
      <c r="H406">
        <v>0</v>
      </c>
      <c r="I406">
        <v>7844.46</v>
      </c>
      <c r="J406">
        <v>15688.92</v>
      </c>
      <c r="K406" s="1">
        <v>45854</v>
      </c>
      <c r="L406" t="s">
        <v>14</v>
      </c>
      <c r="M406" t="s">
        <v>64</v>
      </c>
      <c r="N406">
        <v>3999.21</v>
      </c>
      <c r="O406" t="s">
        <v>74</v>
      </c>
      <c r="P406">
        <v>2025</v>
      </c>
      <c r="Q406">
        <f>IF(Nike_Sales_Cleaned[[#This Row],[Revenue]] = 0, 0, Nike_Sales_Cleaned[[#This Row],[Profit]]/Nike_Sales_Cleaned[[#This Row],[Revenue]])</f>
        <v>0.25490664749390013</v>
      </c>
    </row>
    <row r="407" spans="1:17" x14ac:dyDescent="0.3">
      <c r="A407">
        <v>4107</v>
      </c>
      <c r="B407" t="s">
        <v>10</v>
      </c>
      <c r="C407" t="s">
        <v>23</v>
      </c>
      <c r="D407" t="s">
        <v>24</v>
      </c>
      <c r="E407" t="s">
        <v>22</v>
      </c>
      <c r="F407">
        <v>2</v>
      </c>
      <c r="G407">
        <v>7557.71</v>
      </c>
      <c r="H407">
        <v>0</v>
      </c>
      <c r="I407">
        <v>7556.71</v>
      </c>
      <c r="J407">
        <v>15113.42</v>
      </c>
      <c r="K407" s="1">
        <v>45774</v>
      </c>
      <c r="L407" t="s">
        <v>18</v>
      </c>
      <c r="M407" t="s">
        <v>61</v>
      </c>
      <c r="N407">
        <v>779.19</v>
      </c>
      <c r="O407" t="s">
        <v>74</v>
      </c>
      <c r="P407">
        <v>2025</v>
      </c>
      <c r="Q407">
        <f>IF(Nike_Sales_Cleaned[[#This Row],[Revenue]] = 0, 0, Nike_Sales_Cleaned[[#This Row],[Profit]]/Nike_Sales_Cleaned[[#This Row],[Revenue]])</f>
        <v>5.1556166638656246E-2</v>
      </c>
    </row>
    <row r="408" spans="1:17" x14ac:dyDescent="0.3">
      <c r="A408">
        <v>4108</v>
      </c>
      <c r="B408" t="s">
        <v>10</v>
      </c>
      <c r="C408" t="s">
        <v>23</v>
      </c>
      <c r="D408" t="s">
        <v>43</v>
      </c>
      <c r="E408" t="s">
        <v>22</v>
      </c>
      <c r="F408">
        <v>2</v>
      </c>
      <c r="G408">
        <v>6577.39</v>
      </c>
      <c r="H408">
        <v>0.19</v>
      </c>
      <c r="I408">
        <v>6576.58</v>
      </c>
      <c r="J408">
        <v>13153.16</v>
      </c>
      <c r="K408" s="1">
        <v>45255</v>
      </c>
      <c r="L408" t="s">
        <v>14</v>
      </c>
      <c r="M408" t="s">
        <v>66</v>
      </c>
      <c r="N408">
        <v>1059.07</v>
      </c>
      <c r="O408" t="s">
        <v>76</v>
      </c>
      <c r="P408">
        <v>2023</v>
      </c>
      <c r="Q408">
        <f>IF(Nike_Sales_Cleaned[[#This Row],[Revenue]] = 0, 0, Nike_Sales_Cleaned[[#This Row],[Profit]]/Nike_Sales_Cleaned[[#This Row],[Revenue]])</f>
        <v>8.0518293702806013E-2</v>
      </c>
    </row>
    <row r="409" spans="1:17" x14ac:dyDescent="0.3">
      <c r="A409">
        <v>4110</v>
      </c>
      <c r="B409" t="s">
        <v>27</v>
      </c>
      <c r="C409" t="s">
        <v>11</v>
      </c>
      <c r="D409" t="s">
        <v>34</v>
      </c>
      <c r="E409" t="s">
        <v>13</v>
      </c>
      <c r="F409">
        <v>2</v>
      </c>
      <c r="G409">
        <v>6186.9950000000008</v>
      </c>
      <c r="H409">
        <v>0.41</v>
      </c>
      <c r="I409">
        <v>6186.4050000000007</v>
      </c>
      <c r="J409">
        <v>12372.810000000001</v>
      </c>
      <c r="K409" s="1">
        <v>45530</v>
      </c>
      <c r="L409" t="s">
        <v>18</v>
      </c>
      <c r="M409" t="s">
        <v>61</v>
      </c>
      <c r="N409">
        <v>3387.91</v>
      </c>
      <c r="O409" t="s">
        <v>77</v>
      </c>
      <c r="P409">
        <v>2024</v>
      </c>
      <c r="Q409">
        <f>IF(Nike_Sales_Cleaned[[#This Row],[Revenue]] = 0, 0, Nike_Sales_Cleaned[[#This Row],[Profit]]/Nike_Sales_Cleaned[[#This Row],[Revenue]])</f>
        <v>0.27381896270936024</v>
      </c>
    </row>
    <row r="410" spans="1:17" x14ac:dyDescent="0.3">
      <c r="A410">
        <v>4114</v>
      </c>
      <c r="B410" t="s">
        <v>10</v>
      </c>
      <c r="C410" t="s">
        <v>11</v>
      </c>
      <c r="D410" t="s">
        <v>34</v>
      </c>
      <c r="E410" t="s">
        <v>25</v>
      </c>
      <c r="F410">
        <v>4</v>
      </c>
      <c r="G410">
        <v>6186.9950000000008</v>
      </c>
      <c r="H410">
        <v>0</v>
      </c>
      <c r="I410">
        <v>6185.9950000000008</v>
      </c>
      <c r="J410">
        <v>24743.980000000003</v>
      </c>
      <c r="K410" s="1">
        <v>45851</v>
      </c>
      <c r="L410" t="s">
        <v>18</v>
      </c>
      <c r="M410" t="s">
        <v>64</v>
      </c>
      <c r="N410">
        <v>-233.59</v>
      </c>
      <c r="O410" t="s">
        <v>74</v>
      </c>
      <c r="P410">
        <v>2025</v>
      </c>
      <c r="Q410">
        <f>IF(Nike_Sales_Cleaned[[#This Row],[Revenue]] = 0, 0, Nike_Sales_Cleaned[[#This Row],[Profit]]/Nike_Sales_Cleaned[[#This Row],[Revenue]])</f>
        <v>-9.4402759782379383E-3</v>
      </c>
    </row>
    <row r="411" spans="1:17" x14ac:dyDescent="0.3">
      <c r="A411">
        <v>4118</v>
      </c>
      <c r="B411" t="s">
        <v>10</v>
      </c>
      <c r="C411" t="s">
        <v>31</v>
      </c>
      <c r="D411" t="s">
        <v>48</v>
      </c>
      <c r="E411" t="s">
        <v>25</v>
      </c>
      <c r="F411">
        <v>4</v>
      </c>
      <c r="G411">
        <v>5355.64</v>
      </c>
      <c r="H411">
        <v>0</v>
      </c>
      <c r="I411">
        <v>5354.64</v>
      </c>
      <c r="J411">
        <v>21418.560000000001</v>
      </c>
      <c r="K411" s="1">
        <v>45798</v>
      </c>
      <c r="L411" t="s">
        <v>18</v>
      </c>
      <c r="M411" t="s">
        <v>63</v>
      </c>
      <c r="N411">
        <v>-538.94000000000005</v>
      </c>
      <c r="O411" t="s">
        <v>74</v>
      </c>
      <c r="P411">
        <v>2025</v>
      </c>
      <c r="Q411">
        <f>IF(Nike_Sales_Cleaned[[#This Row],[Revenue]] = 0, 0, Nike_Sales_Cleaned[[#This Row],[Profit]]/Nike_Sales_Cleaned[[#This Row],[Revenue]])</f>
        <v>-2.5162289154826468E-2</v>
      </c>
    </row>
    <row r="412" spans="1:17" x14ac:dyDescent="0.3">
      <c r="A412">
        <v>4122</v>
      </c>
      <c r="B412" t="s">
        <v>10</v>
      </c>
      <c r="C412" t="s">
        <v>20</v>
      </c>
      <c r="D412" t="s">
        <v>45</v>
      </c>
      <c r="E412" t="s">
        <v>28</v>
      </c>
      <c r="F412">
        <v>1</v>
      </c>
      <c r="G412">
        <v>6202.99</v>
      </c>
      <c r="H412">
        <v>0</v>
      </c>
      <c r="I412">
        <v>6201.99</v>
      </c>
      <c r="J412">
        <v>6201.99</v>
      </c>
      <c r="K412" s="1">
        <v>45826</v>
      </c>
      <c r="L412" t="s">
        <v>18</v>
      </c>
      <c r="M412" t="s">
        <v>63</v>
      </c>
      <c r="N412">
        <v>-261.43</v>
      </c>
      <c r="O412" t="s">
        <v>74</v>
      </c>
      <c r="P412">
        <v>2025</v>
      </c>
      <c r="Q412">
        <f>IF(Nike_Sales_Cleaned[[#This Row],[Revenue]] = 0, 0, Nike_Sales_Cleaned[[#This Row],[Profit]]/Nike_Sales_Cleaned[[#This Row],[Revenue]])</f>
        <v>-4.2152599407609494E-2</v>
      </c>
    </row>
    <row r="413" spans="1:17" x14ac:dyDescent="0.3">
      <c r="A413">
        <v>4124</v>
      </c>
      <c r="B413" t="s">
        <v>10</v>
      </c>
      <c r="C413" t="s">
        <v>31</v>
      </c>
      <c r="D413" t="s">
        <v>48</v>
      </c>
      <c r="E413" t="s">
        <v>13</v>
      </c>
      <c r="F413">
        <v>1</v>
      </c>
      <c r="G413">
        <v>5355.64</v>
      </c>
      <c r="H413">
        <v>0</v>
      </c>
      <c r="I413">
        <v>5354.64</v>
      </c>
      <c r="J413">
        <v>5354.64</v>
      </c>
      <c r="K413" s="1">
        <v>45215</v>
      </c>
      <c r="L413" t="s">
        <v>14</v>
      </c>
      <c r="M413" t="s">
        <v>65</v>
      </c>
      <c r="N413">
        <v>477.62</v>
      </c>
      <c r="O413" t="s">
        <v>74</v>
      </c>
      <c r="P413">
        <v>2023</v>
      </c>
      <c r="Q413">
        <f>IF(Nike_Sales_Cleaned[[#This Row],[Revenue]] = 0, 0, Nike_Sales_Cleaned[[#This Row],[Profit]]/Nike_Sales_Cleaned[[#This Row],[Revenue]])</f>
        <v>8.9197406361585463E-2</v>
      </c>
    </row>
    <row r="414" spans="1:17" x14ac:dyDescent="0.3">
      <c r="A414">
        <v>4133</v>
      </c>
      <c r="B414" t="s">
        <v>27</v>
      </c>
      <c r="C414" t="s">
        <v>31</v>
      </c>
      <c r="D414" t="s">
        <v>32</v>
      </c>
      <c r="E414" t="s">
        <v>22</v>
      </c>
      <c r="F414">
        <v>3</v>
      </c>
      <c r="G414">
        <v>5981.92</v>
      </c>
      <c r="H414">
        <v>0</v>
      </c>
      <c r="I414">
        <v>5980.92</v>
      </c>
      <c r="J414">
        <v>17942.760000000002</v>
      </c>
      <c r="K414" s="1">
        <v>45605</v>
      </c>
      <c r="L414" t="s">
        <v>14</v>
      </c>
      <c r="M414" t="s">
        <v>63</v>
      </c>
      <c r="N414">
        <v>1015.38</v>
      </c>
      <c r="O414" t="s">
        <v>74</v>
      </c>
      <c r="P414">
        <v>2024</v>
      </c>
      <c r="Q414">
        <f>IF(Nike_Sales_Cleaned[[#This Row],[Revenue]] = 0, 0, Nike_Sales_Cleaned[[#This Row],[Profit]]/Nike_Sales_Cleaned[[#This Row],[Revenue]])</f>
        <v>5.6589956060271659E-2</v>
      </c>
    </row>
    <row r="415" spans="1:17" x14ac:dyDescent="0.3">
      <c r="A415">
        <v>4147</v>
      </c>
      <c r="B415" t="s">
        <v>27</v>
      </c>
      <c r="C415" t="s">
        <v>31</v>
      </c>
      <c r="D415" t="s">
        <v>39</v>
      </c>
      <c r="E415" t="s">
        <v>22</v>
      </c>
      <c r="F415">
        <v>1</v>
      </c>
      <c r="G415">
        <v>7845.46</v>
      </c>
      <c r="H415">
        <v>0</v>
      </c>
      <c r="I415">
        <v>7844.46</v>
      </c>
      <c r="J415">
        <v>7844.46</v>
      </c>
      <c r="K415" s="1">
        <v>45622</v>
      </c>
      <c r="L415" t="s">
        <v>14</v>
      </c>
      <c r="M415" t="s">
        <v>65</v>
      </c>
      <c r="N415">
        <v>106.35</v>
      </c>
      <c r="O415" t="s">
        <v>74</v>
      </c>
      <c r="P415">
        <v>2024</v>
      </c>
      <c r="Q415">
        <f>IF(Nike_Sales_Cleaned[[#This Row],[Revenue]] = 0, 0, Nike_Sales_Cleaned[[#This Row],[Profit]]/Nike_Sales_Cleaned[[#This Row],[Revenue]])</f>
        <v>1.3557338554852723E-2</v>
      </c>
    </row>
    <row r="416" spans="1:17" x14ac:dyDescent="0.3">
      <c r="A416">
        <v>4148</v>
      </c>
      <c r="B416" t="s">
        <v>10</v>
      </c>
      <c r="C416" t="s">
        <v>16</v>
      </c>
      <c r="D416" t="s">
        <v>42</v>
      </c>
      <c r="E416" t="s">
        <v>44</v>
      </c>
      <c r="F416">
        <v>3</v>
      </c>
      <c r="G416">
        <v>5940.3850000000002</v>
      </c>
      <c r="H416">
        <v>0</v>
      </c>
      <c r="I416">
        <v>5939.3850000000002</v>
      </c>
      <c r="J416">
        <v>17818.154999999999</v>
      </c>
      <c r="K416" s="1">
        <v>45856</v>
      </c>
      <c r="L416" t="s">
        <v>18</v>
      </c>
      <c r="M416" t="s">
        <v>62</v>
      </c>
      <c r="N416">
        <v>-900.4</v>
      </c>
      <c r="O416" t="s">
        <v>74</v>
      </c>
      <c r="P416">
        <v>2025</v>
      </c>
      <c r="Q416">
        <f>IF(Nike_Sales_Cleaned[[#This Row],[Revenue]] = 0, 0, Nike_Sales_Cleaned[[#This Row],[Profit]]/Nike_Sales_Cleaned[[#This Row],[Revenue]])</f>
        <v>-5.0532729118138213E-2</v>
      </c>
    </row>
    <row r="417" spans="1:17" x14ac:dyDescent="0.3">
      <c r="A417">
        <v>4149</v>
      </c>
      <c r="B417" t="s">
        <v>15</v>
      </c>
      <c r="C417" t="s">
        <v>11</v>
      </c>
      <c r="D417" t="s">
        <v>12</v>
      </c>
      <c r="E417" t="s">
        <v>46</v>
      </c>
      <c r="F417">
        <v>4</v>
      </c>
      <c r="G417">
        <v>5873.83</v>
      </c>
      <c r="H417">
        <v>0</v>
      </c>
      <c r="I417">
        <v>5872.83</v>
      </c>
      <c r="J417">
        <v>23491.32</v>
      </c>
      <c r="K417" s="1">
        <v>45549</v>
      </c>
      <c r="L417" t="s">
        <v>18</v>
      </c>
      <c r="M417" t="s">
        <v>62</v>
      </c>
      <c r="N417">
        <v>274.76</v>
      </c>
      <c r="O417" t="s">
        <v>74</v>
      </c>
      <c r="P417">
        <v>2024</v>
      </c>
      <c r="Q417">
        <f>IF(Nike_Sales_Cleaned[[#This Row],[Revenue]] = 0, 0, Nike_Sales_Cleaned[[#This Row],[Profit]]/Nike_Sales_Cleaned[[#This Row],[Revenue]])</f>
        <v>1.1696235034897997E-2</v>
      </c>
    </row>
    <row r="418" spans="1:17" x14ac:dyDescent="0.3">
      <c r="A418">
        <v>4152</v>
      </c>
      <c r="B418" t="s">
        <v>27</v>
      </c>
      <c r="C418" t="s">
        <v>31</v>
      </c>
      <c r="D418" t="s">
        <v>38</v>
      </c>
      <c r="E418" t="s">
        <v>25</v>
      </c>
      <c r="F418">
        <v>1</v>
      </c>
      <c r="G418">
        <v>5117.8649999999998</v>
      </c>
      <c r="H418">
        <v>0</v>
      </c>
      <c r="I418">
        <v>5116.8649999999998</v>
      </c>
      <c r="J418">
        <v>5116.8649999999998</v>
      </c>
      <c r="K418" s="1">
        <v>45511</v>
      </c>
      <c r="L418" t="s">
        <v>14</v>
      </c>
      <c r="M418" t="s">
        <v>63</v>
      </c>
      <c r="N418">
        <v>1011.99</v>
      </c>
      <c r="O418" t="s">
        <v>74</v>
      </c>
      <c r="P418">
        <v>2024</v>
      </c>
      <c r="Q418">
        <f>IF(Nike_Sales_Cleaned[[#This Row],[Revenue]] = 0, 0, Nike_Sales_Cleaned[[#This Row],[Profit]]/Nike_Sales_Cleaned[[#This Row],[Revenue]])</f>
        <v>0.1977753956768451</v>
      </c>
    </row>
    <row r="419" spans="1:17" x14ac:dyDescent="0.3">
      <c r="A419">
        <v>4157</v>
      </c>
      <c r="B419" t="s">
        <v>27</v>
      </c>
      <c r="C419" t="s">
        <v>31</v>
      </c>
      <c r="D419" t="s">
        <v>39</v>
      </c>
      <c r="E419" t="s">
        <v>25</v>
      </c>
      <c r="F419">
        <v>3</v>
      </c>
      <c r="G419">
        <v>7845.46</v>
      </c>
      <c r="H419">
        <v>0</v>
      </c>
      <c r="I419">
        <v>7844.46</v>
      </c>
      <c r="J419">
        <v>23533.38</v>
      </c>
      <c r="K419" s="1">
        <v>45847</v>
      </c>
      <c r="L419" t="s">
        <v>18</v>
      </c>
      <c r="M419" t="s">
        <v>65</v>
      </c>
      <c r="N419">
        <v>-699.76</v>
      </c>
      <c r="O419" t="s">
        <v>74</v>
      </c>
      <c r="P419">
        <v>2025</v>
      </c>
      <c r="Q419">
        <f>IF(Nike_Sales_Cleaned[[#This Row],[Revenue]] = 0, 0, Nike_Sales_Cleaned[[#This Row],[Profit]]/Nike_Sales_Cleaned[[#This Row],[Revenue]])</f>
        <v>-2.9734785228471217E-2</v>
      </c>
    </row>
    <row r="420" spans="1:17" x14ac:dyDescent="0.3">
      <c r="A420">
        <v>4165</v>
      </c>
      <c r="B420" t="s">
        <v>15</v>
      </c>
      <c r="C420" t="s">
        <v>11</v>
      </c>
      <c r="D420" t="s">
        <v>12</v>
      </c>
      <c r="E420" t="s">
        <v>25</v>
      </c>
      <c r="F420">
        <v>1</v>
      </c>
      <c r="G420">
        <v>5873.83</v>
      </c>
      <c r="H420">
        <v>0.26</v>
      </c>
      <c r="I420">
        <v>5873.09</v>
      </c>
      <c r="J420">
        <v>5873.09</v>
      </c>
      <c r="K420" s="1">
        <v>45616</v>
      </c>
      <c r="L420" t="s">
        <v>14</v>
      </c>
      <c r="M420" t="s">
        <v>64</v>
      </c>
      <c r="N420">
        <v>2194.38</v>
      </c>
      <c r="O420" t="s">
        <v>78</v>
      </c>
      <c r="P420">
        <v>2024</v>
      </c>
      <c r="Q420">
        <f>IF(Nike_Sales_Cleaned[[#This Row],[Revenue]] = 0, 0, Nike_Sales_Cleaned[[#This Row],[Profit]]/Nike_Sales_Cleaned[[#This Row],[Revenue]])</f>
        <v>0.37363295982183142</v>
      </c>
    </row>
    <row r="421" spans="1:17" x14ac:dyDescent="0.3">
      <c r="A421">
        <v>4168</v>
      </c>
      <c r="B421" t="s">
        <v>10</v>
      </c>
      <c r="C421" t="s">
        <v>23</v>
      </c>
      <c r="D421" t="s">
        <v>37</v>
      </c>
      <c r="E421" t="s">
        <v>46</v>
      </c>
      <c r="F421">
        <v>4</v>
      </c>
      <c r="G421">
        <v>5620.64</v>
      </c>
      <c r="H421">
        <v>0</v>
      </c>
      <c r="I421">
        <v>5619.64</v>
      </c>
      <c r="J421">
        <v>22478.560000000001</v>
      </c>
      <c r="K421" s="1">
        <v>45452</v>
      </c>
      <c r="L421" t="s">
        <v>18</v>
      </c>
      <c r="M421" t="s">
        <v>63</v>
      </c>
      <c r="N421">
        <v>3282.84</v>
      </c>
      <c r="O421" t="s">
        <v>74</v>
      </c>
      <c r="P421">
        <v>2024</v>
      </c>
      <c r="Q421">
        <f>IF(Nike_Sales_Cleaned[[#This Row],[Revenue]] = 0, 0, Nike_Sales_Cleaned[[#This Row],[Profit]]/Nike_Sales_Cleaned[[#This Row],[Revenue]])</f>
        <v>0.14604316290723249</v>
      </c>
    </row>
    <row r="422" spans="1:17" x14ac:dyDescent="0.3">
      <c r="A422">
        <v>4172</v>
      </c>
      <c r="B422" t="s">
        <v>15</v>
      </c>
      <c r="C422" t="s">
        <v>16</v>
      </c>
      <c r="D422" t="s">
        <v>29</v>
      </c>
      <c r="E422" t="s">
        <v>22</v>
      </c>
      <c r="F422">
        <v>1</v>
      </c>
      <c r="G422">
        <v>6880.21</v>
      </c>
      <c r="H422">
        <v>0</v>
      </c>
      <c r="I422">
        <v>6879.21</v>
      </c>
      <c r="J422">
        <v>6879.21</v>
      </c>
      <c r="K422" s="1">
        <v>45678</v>
      </c>
      <c r="L422" t="s">
        <v>18</v>
      </c>
      <c r="M422" t="s">
        <v>64</v>
      </c>
      <c r="N422">
        <v>155.61000000000001</v>
      </c>
      <c r="O422" t="s">
        <v>74</v>
      </c>
      <c r="P422">
        <v>2025</v>
      </c>
      <c r="Q422">
        <f>IF(Nike_Sales_Cleaned[[#This Row],[Revenue]] = 0, 0, Nike_Sales_Cleaned[[#This Row],[Profit]]/Nike_Sales_Cleaned[[#This Row],[Revenue]])</f>
        <v>2.2620329950677479E-2</v>
      </c>
    </row>
    <row r="423" spans="1:17" x14ac:dyDescent="0.3">
      <c r="A423">
        <v>4176</v>
      </c>
      <c r="B423" t="s">
        <v>15</v>
      </c>
      <c r="C423" t="s">
        <v>11</v>
      </c>
      <c r="D423" t="s">
        <v>41</v>
      </c>
      <c r="E423" t="s">
        <v>13</v>
      </c>
      <c r="F423">
        <v>1</v>
      </c>
      <c r="G423">
        <v>7594.7199999999993</v>
      </c>
      <c r="H423">
        <v>0</v>
      </c>
      <c r="I423">
        <v>7593.7199999999993</v>
      </c>
      <c r="J423">
        <v>7593.7199999999993</v>
      </c>
      <c r="K423" s="1">
        <v>45171</v>
      </c>
      <c r="L423" t="s">
        <v>18</v>
      </c>
      <c r="M423" t="s">
        <v>61</v>
      </c>
      <c r="N423">
        <v>2254.67</v>
      </c>
      <c r="O423" t="s">
        <v>74</v>
      </c>
      <c r="P423">
        <v>2023</v>
      </c>
      <c r="Q423">
        <f>IF(Nike_Sales_Cleaned[[#This Row],[Revenue]] = 0, 0, Nike_Sales_Cleaned[[#This Row],[Profit]]/Nike_Sales_Cleaned[[#This Row],[Revenue]])</f>
        <v>0.29691244870761635</v>
      </c>
    </row>
    <row r="424" spans="1:17" x14ac:dyDescent="0.3">
      <c r="A424">
        <v>4181</v>
      </c>
      <c r="B424" t="s">
        <v>15</v>
      </c>
      <c r="C424" t="s">
        <v>23</v>
      </c>
      <c r="D424" t="s">
        <v>37</v>
      </c>
      <c r="E424" t="s">
        <v>13</v>
      </c>
      <c r="F424">
        <v>3</v>
      </c>
      <c r="G424">
        <v>5620.64</v>
      </c>
      <c r="H424">
        <v>0</v>
      </c>
      <c r="I424">
        <v>5619.64</v>
      </c>
      <c r="J424">
        <v>16858.920000000002</v>
      </c>
      <c r="K424" s="1">
        <v>45752</v>
      </c>
      <c r="L424" t="s">
        <v>18</v>
      </c>
      <c r="M424" t="s">
        <v>65</v>
      </c>
      <c r="N424">
        <v>-564.63</v>
      </c>
      <c r="O424" t="s">
        <v>74</v>
      </c>
      <c r="P424">
        <v>2025</v>
      </c>
      <c r="Q424">
        <f>IF(Nike_Sales_Cleaned[[#This Row],[Revenue]] = 0, 0, Nike_Sales_Cleaned[[#This Row],[Profit]]/Nike_Sales_Cleaned[[#This Row],[Revenue]])</f>
        <v>-3.3491469204433022E-2</v>
      </c>
    </row>
    <row r="425" spans="1:17" x14ac:dyDescent="0.3">
      <c r="A425">
        <v>4182</v>
      </c>
      <c r="B425" t="s">
        <v>27</v>
      </c>
      <c r="C425" t="s">
        <v>20</v>
      </c>
      <c r="D425" t="s">
        <v>45</v>
      </c>
      <c r="E425" t="s">
        <v>25</v>
      </c>
      <c r="F425">
        <v>1</v>
      </c>
      <c r="G425">
        <v>6202.99</v>
      </c>
      <c r="H425">
        <v>0</v>
      </c>
      <c r="I425">
        <v>6201.99</v>
      </c>
      <c r="J425">
        <v>6201.99</v>
      </c>
      <c r="K425" s="1">
        <v>45628</v>
      </c>
      <c r="L425" t="s">
        <v>18</v>
      </c>
      <c r="M425" t="s">
        <v>63</v>
      </c>
      <c r="N425">
        <v>1135.3800000000001</v>
      </c>
      <c r="O425" t="s">
        <v>74</v>
      </c>
      <c r="P425">
        <v>2024</v>
      </c>
      <c r="Q425">
        <f>IF(Nike_Sales_Cleaned[[#This Row],[Revenue]] = 0, 0, Nike_Sales_Cleaned[[#This Row],[Profit]]/Nike_Sales_Cleaned[[#This Row],[Revenue]])</f>
        <v>0.18306704783464664</v>
      </c>
    </row>
    <row r="426" spans="1:17" x14ac:dyDescent="0.3">
      <c r="A426">
        <v>4183</v>
      </c>
      <c r="B426" t="s">
        <v>27</v>
      </c>
      <c r="C426" t="s">
        <v>20</v>
      </c>
      <c r="D426" t="s">
        <v>47</v>
      </c>
      <c r="E426" t="s">
        <v>28</v>
      </c>
      <c r="F426">
        <v>2</v>
      </c>
      <c r="G426">
        <v>6010.71</v>
      </c>
      <c r="H426">
        <v>0</v>
      </c>
      <c r="I426">
        <v>6009.71</v>
      </c>
      <c r="J426">
        <v>12019.42</v>
      </c>
      <c r="K426" s="1">
        <v>45739</v>
      </c>
      <c r="L426" t="s">
        <v>18</v>
      </c>
      <c r="M426" t="s">
        <v>62</v>
      </c>
      <c r="N426">
        <v>-443.83</v>
      </c>
      <c r="O426" t="s">
        <v>74</v>
      </c>
      <c r="P426">
        <v>2025</v>
      </c>
      <c r="Q426">
        <f>IF(Nike_Sales_Cleaned[[#This Row],[Revenue]] = 0, 0, Nike_Sales_Cleaned[[#This Row],[Profit]]/Nike_Sales_Cleaned[[#This Row],[Revenue]])</f>
        <v>-3.6926074635880934E-2</v>
      </c>
    </row>
    <row r="427" spans="1:17" x14ac:dyDescent="0.3">
      <c r="A427">
        <v>4185</v>
      </c>
      <c r="B427" t="s">
        <v>15</v>
      </c>
      <c r="C427" t="s">
        <v>11</v>
      </c>
      <c r="D427" t="s">
        <v>41</v>
      </c>
      <c r="E427" t="s">
        <v>36</v>
      </c>
      <c r="F427">
        <v>3</v>
      </c>
      <c r="G427">
        <v>7594.7199999999993</v>
      </c>
      <c r="H427">
        <v>0</v>
      </c>
      <c r="I427">
        <v>7593.7199999999993</v>
      </c>
      <c r="J427">
        <v>22781.159999999996</v>
      </c>
      <c r="K427" s="1">
        <v>45689</v>
      </c>
      <c r="L427" t="s">
        <v>14</v>
      </c>
      <c r="M427" t="s">
        <v>61</v>
      </c>
      <c r="N427">
        <v>2562.0500000000002</v>
      </c>
      <c r="O427" t="s">
        <v>74</v>
      </c>
      <c r="P427">
        <v>2025</v>
      </c>
      <c r="Q427">
        <f>IF(Nike_Sales_Cleaned[[#This Row],[Revenue]] = 0, 0, Nike_Sales_Cleaned[[#This Row],[Profit]]/Nike_Sales_Cleaned[[#This Row],[Revenue]])</f>
        <v>0.11246354443759671</v>
      </c>
    </row>
    <row r="428" spans="1:17" x14ac:dyDescent="0.3">
      <c r="A428">
        <v>4193</v>
      </c>
      <c r="B428" t="s">
        <v>10</v>
      </c>
      <c r="C428" t="s">
        <v>31</v>
      </c>
      <c r="D428" t="s">
        <v>38</v>
      </c>
      <c r="E428" t="s">
        <v>25</v>
      </c>
      <c r="F428">
        <v>1</v>
      </c>
      <c r="G428">
        <v>5117.8649999999998</v>
      </c>
      <c r="H428">
        <v>0</v>
      </c>
      <c r="I428">
        <v>5116.8649999999998</v>
      </c>
      <c r="J428">
        <v>5116.8649999999998</v>
      </c>
      <c r="K428" s="1">
        <v>45630</v>
      </c>
      <c r="L428" t="s">
        <v>14</v>
      </c>
      <c r="M428" t="s">
        <v>63</v>
      </c>
      <c r="N428">
        <v>1192.6600000000001</v>
      </c>
      <c r="O428" t="s">
        <v>74</v>
      </c>
      <c r="P428">
        <v>2024</v>
      </c>
      <c r="Q428">
        <f>IF(Nike_Sales_Cleaned[[#This Row],[Revenue]] = 0, 0, Nike_Sales_Cleaned[[#This Row],[Profit]]/Nike_Sales_Cleaned[[#This Row],[Revenue]])</f>
        <v>0.23308412475216761</v>
      </c>
    </row>
    <row r="429" spans="1:17" x14ac:dyDescent="0.3">
      <c r="A429">
        <v>4201</v>
      </c>
      <c r="B429" t="s">
        <v>10</v>
      </c>
      <c r="C429" t="s">
        <v>23</v>
      </c>
      <c r="D429" t="s">
        <v>24</v>
      </c>
      <c r="E429" t="s">
        <v>22</v>
      </c>
      <c r="F429">
        <v>3</v>
      </c>
      <c r="G429">
        <v>7557.71</v>
      </c>
      <c r="H429">
        <v>0</v>
      </c>
      <c r="I429">
        <v>7556.71</v>
      </c>
      <c r="J429">
        <v>22670.13</v>
      </c>
      <c r="K429" s="1">
        <v>45786</v>
      </c>
      <c r="L429" t="s">
        <v>18</v>
      </c>
      <c r="M429" t="s">
        <v>66</v>
      </c>
      <c r="N429">
        <v>1412.54</v>
      </c>
      <c r="O429" t="s">
        <v>74</v>
      </c>
      <c r="P429">
        <v>2025</v>
      </c>
      <c r="Q429">
        <f>IF(Nike_Sales_Cleaned[[#This Row],[Revenue]] = 0, 0, Nike_Sales_Cleaned[[#This Row],[Profit]]/Nike_Sales_Cleaned[[#This Row],[Revenue]])</f>
        <v>6.2308420816289976E-2</v>
      </c>
    </row>
    <row r="430" spans="1:17" x14ac:dyDescent="0.3">
      <c r="A430">
        <v>4202</v>
      </c>
      <c r="B430" t="s">
        <v>27</v>
      </c>
      <c r="C430" t="s">
        <v>11</v>
      </c>
      <c r="D430" t="s">
        <v>12</v>
      </c>
      <c r="E430" t="s">
        <v>22</v>
      </c>
      <c r="F430">
        <v>4</v>
      </c>
      <c r="G430">
        <v>5873.83</v>
      </c>
      <c r="H430">
        <v>0</v>
      </c>
      <c r="I430">
        <v>5872.83</v>
      </c>
      <c r="J430">
        <v>23491.32</v>
      </c>
      <c r="K430" s="1">
        <v>45793</v>
      </c>
      <c r="L430" t="s">
        <v>14</v>
      </c>
      <c r="M430" t="s">
        <v>62</v>
      </c>
      <c r="N430">
        <v>299.85000000000002</v>
      </c>
      <c r="O430" t="s">
        <v>74</v>
      </c>
      <c r="P430">
        <v>2025</v>
      </c>
      <c r="Q430">
        <f>IF(Nike_Sales_Cleaned[[#This Row],[Revenue]] = 0, 0, Nike_Sales_Cleaned[[#This Row],[Profit]]/Nike_Sales_Cleaned[[#This Row],[Revenue]])</f>
        <v>1.2764289107636353E-2</v>
      </c>
    </row>
    <row r="431" spans="1:17" x14ac:dyDescent="0.3">
      <c r="A431">
        <v>4209</v>
      </c>
      <c r="B431" t="s">
        <v>15</v>
      </c>
      <c r="C431" t="s">
        <v>23</v>
      </c>
      <c r="D431" t="s">
        <v>35</v>
      </c>
      <c r="E431" t="s">
        <v>13</v>
      </c>
      <c r="F431">
        <v>1</v>
      </c>
      <c r="G431">
        <v>5282.31</v>
      </c>
      <c r="H431">
        <v>0</v>
      </c>
      <c r="I431">
        <v>5281.31</v>
      </c>
      <c r="J431">
        <v>5281.31</v>
      </c>
      <c r="K431" s="1">
        <v>45263</v>
      </c>
      <c r="L431" t="s">
        <v>14</v>
      </c>
      <c r="M431" t="s">
        <v>66</v>
      </c>
      <c r="N431">
        <v>3222.58</v>
      </c>
      <c r="O431" t="s">
        <v>74</v>
      </c>
      <c r="P431">
        <v>2023</v>
      </c>
      <c r="Q431">
        <f>IF(Nike_Sales_Cleaned[[#This Row],[Revenue]] = 0, 0, Nike_Sales_Cleaned[[#This Row],[Profit]]/Nike_Sales_Cleaned[[#This Row],[Revenue]])</f>
        <v>0.61018573043430502</v>
      </c>
    </row>
    <row r="432" spans="1:17" x14ac:dyDescent="0.3">
      <c r="A432">
        <v>4212</v>
      </c>
      <c r="B432" t="s">
        <v>27</v>
      </c>
      <c r="C432" t="s">
        <v>23</v>
      </c>
      <c r="D432" t="s">
        <v>24</v>
      </c>
      <c r="E432" t="s">
        <v>25</v>
      </c>
      <c r="F432">
        <v>3</v>
      </c>
      <c r="G432">
        <v>7557.71</v>
      </c>
      <c r="H432">
        <v>0.9</v>
      </c>
      <c r="I432">
        <v>7557.61</v>
      </c>
      <c r="J432">
        <v>22672.829999999998</v>
      </c>
      <c r="K432" s="1">
        <v>45136</v>
      </c>
      <c r="L432" t="s">
        <v>14</v>
      </c>
      <c r="M432" t="s">
        <v>66</v>
      </c>
      <c r="N432">
        <v>3556.86</v>
      </c>
      <c r="O432" t="s">
        <v>75</v>
      </c>
      <c r="P432">
        <v>2023</v>
      </c>
      <c r="Q432">
        <f>IF(Nike_Sales_Cleaned[[#This Row],[Revenue]] = 0, 0, Nike_Sales_Cleaned[[#This Row],[Profit]]/Nike_Sales_Cleaned[[#This Row],[Revenue]])</f>
        <v>0.15687763724246159</v>
      </c>
    </row>
    <row r="433" spans="1:17" x14ac:dyDescent="0.3">
      <c r="A433">
        <v>4215</v>
      </c>
      <c r="B433" t="s">
        <v>27</v>
      </c>
      <c r="C433" t="s">
        <v>11</v>
      </c>
      <c r="D433" t="s">
        <v>26</v>
      </c>
      <c r="E433" t="s">
        <v>25</v>
      </c>
      <c r="F433">
        <v>3</v>
      </c>
      <c r="G433">
        <v>5649.73</v>
      </c>
      <c r="H433">
        <v>0</v>
      </c>
      <c r="I433">
        <v>5648.73</v>
      </c>
      <c r="J433">
        <v>16946.189999999999</v>
      </c>
      <c r="K433" s="1">
        <v>45851</v>
      </c>
      <c r="L433" t="s">
        <v>14</v>
      </c>
      <c r="M433" t="s">
        <v>66</v>
      </c>
      <c r="N433">
        <v>960.82</v>
      </c>
      <c r="O433" t="s">
        <v>74</v>
      </c>
      <c r="P433">
        <v>2025</v>
      </c>
      <c r="Q433">
        <f>IF(Nike_Sales_Cleaned[[#This Row],[Revenue]] = 0, 0, Nike_Sales_Cleaned[[#This Row],[Profit]]/Nike_Sales_Cleaned[[#This Row],[Revenue]])</f>
        <v>5.6698290294160521E-2</v>
      </c>
    </row>
    <row r="434" spans="1:17" x14ac:dyDescent="0.3">
      <c r="A434">
        <v>4220</v>
      </c>
      <c r="B434" t="s">
        <v>10</v>
      </c>
      <c r="C434" t="s">
        <v>20</v>
      </c>
      <c r="D434" t="s">
        <v>45</v>
      </c>
      <c r="E434" t="s">
        <v>13</v>
      </c>
      <c r="F434">
        <v>2</v>
      </c>
      <c r="G434">
        <v>6202.99</v>
      </c>
      <c r="H434">
        <v>0.84</v>
      </c>
      <c r="I434">
        <v>6202.83</v>
      </c>
      <c r="J434">
        <v>12405.66</v>
      </c>
      <c r="K434" s="1">
        <v>45688</v>
      </c>
      <c r="L434" t="s">
        <v>18</v>
      </c>
      <c r="M434" t="s">
        <v>65</v>
      </c>
      <c r="N434">
        <v>608.16</v>
      </c>
      <c r="O434" t="s">
        <v>75</v>
      </c>
      <c r="P434">
        <v>2025</v>
      </c>
      <c r="Q434">
        <f>IF(Nike_Sales_Cleaned[[#This Row],[Revenue]] = 0, 0, Nike_Sales_Cleaned[[#This Row],[Profit]]/Nike_Sales_Cleaned[[#This Row],[Revenue]])</f>
        <v>4.9022784761149345E-2</v>
      </c>
    </row>
    <row r="435" spans="1:17" x14ac:dyDescent="0.3">
      <c r="A435">
        <v>4223</v>
      </c>
      <c r="B435" t="s">
        <v>10</v>
      </c>
      <c r="C435" t="s">
        <v>16</v>
      </c>
      <c r="D435" t="s">
        <v>29</v>
      </c>
      <c r="E435" t="s">
        <v>22</v>
      </c>
      <c r="F435">
        <v>1</v>
      </c>
      <c r="G435">
        <v>6880.21</v>
      </c>
      <c r="H435">
        <v>0.31</v>
      </c>
      <c r="I435">
        <v>6879.52</v>
      </c>
      <c r="J435">
        <v>6879.52</v>
      </c>
      <c r="K435" s="1">
        <v>45692</v>
      </c>
      <c r="L435" t="s">
        <v>18</v>
      </c>
      <c r="M435" t="s">
        <v>64</v>
      </c>
      <c r="N435">
        <v>-1152.3699999999999</v>
      </c>
      <c r="O435" t="s">
        <v>77</v>
      </c>
      <c r="P435">
        <v>2025</v>
      </c>
      <c r="Q435">
        <f>IF(Nike_Sales_Cleaned[[#This Row],[Revenue]] = 0, 0, Nike_Sales_Cleaned[[#This Row],[Profit]]/Nike_Sales_Cleaned[[#This Row],[Revenue]])</f>
        <v>-0.16750732609251806</v>
      </c>
    </row>
    <row r="436" spans="1:17" x14ac:dyDescent="0.3">
      <c r="A436">
        <v>4228</v>
      </c>
      <c r="B436" t="s">
        <v>10</v>
      </c>
      <c r="C436" t="s">
        <v>11</v>
      </c>
      <c r="D436" t="s">
        <v>12</v>
      </c>
      <c r="E436" t="s">
        <v>22</v>
      </c>
      <c r="F436">
        <v>3</v>
      </c>
      <c r="G436">
        <v>5873.83</v>
      </c>
      <c r="H436">
        <v>0</v>
      </c>
      <c r="I436">
        <v>5872.83</v>
      </c>
      <c r="J436">
        <v>17618.489999999998</v>
      </c>
      <c r="K436" s="1">
        <v>45789</v>
      </c>
      <c r="L436" t="s">
        <v>18</v>
      </c>
      <c r="M436" t="s">
        <v>66</v>
      </c>
      <c r="N436">
        <v>-448.12</v>
      </c>
      <c r="O436" t="s">
        <v>74</v>
      </c>
      <c r="P436">
        <v>2025</v>
      </c>
      <c r="Q436">
        <f>IF(Nike_Sales_Cleaned[[#This Row],[Revenue]] = 0, 0, Nike_Sales_Cleaned[[#This Row],[Profit]]/Nike_Sales_Cleaned[[#This Row],[Revenue]])</f>
        <v>-2.5434642809911635E-2</v>
      </c>
    </row>
    <row r="437" spans="1:17" x14ac:dyDescent="0.3">
      <c r="A437">
        <v>4229</v>
      </c>
      <c r="B437" t="s">
        <v>10</v>
      </c>
      <c r="C437" t="s">
        <v>23</v>
      </c>
      <c r="D437" t="s">
        <v>37</v>
      </c>
      <c r="E437" t="s">
        <v>25</v>
      </c>
      <c r="F437">
        <v>4</v>
      </c>
      <c r="G437">
        <v>5620.64</v>
      </c>
      <c r="H437">
        <v>0</v>
      </c>
      <c r="I437">
        <v>5619.64</v>
      </c>
      <c r="J437">
        <v>22478.560000000001</v>
      </c>
      <c r="K437" s="1">
        <v>45828</v>
      </c>
      <c r="L437" t="s">
        <v>14</v>
      </c>
      <c r="M437" t="s">
        <v>62</v>
      </c>
      <c r="N437">
        <v>3470.61</v>
      </c>
      <c r="O437" t="s">
        <v>74</v>
      </c>
      <c r="P437">
        <v>2025</v>
      </c>
      <c r="Q437">
        <f>IF(Nike_Sales_Cleaned[[#This Row],[Revenue]] = 0, 0, Nike_Sales_Cleaned[[#This Row],[Profit]]/Nike_Sales_Cleaned[[#This Row],[Revenue]])</f>
        <v>0.15439645600074026</v>
      </c>
    </row>
    <row r="438" spans="1:17" x14ac:dyDescent="0.3">
      <c r="A438">
        <v>4237</v>
      </c>
      <c r="B438" t="s">
        <v>27</v>
      </c>
      <c r="C438" t="s">
        <v>31</v>
      </c>
      <c r="D438" t="s">
        <v>48</v>
      </c>
      <c r="E438" t="s">
        <v>22</v>
      </c>
      <c r="F438">
        <v>1</v>
      </c>
      <c r="G438">
        <v>5355.64</v>
      </c>
      <c r="H438">
        <v>0</v>
      </c>
      <c r="I438">
        <v>5354.64</v>
      </c>
      <c r="J438">
        <v>5354.64</v>
      </c>
      <c r="K438" s="1">
        <v>45703</v>
      </c>
      <c r="L438" t="s">
        <v>14</v>
      </c>
      <c r="M438" t="s">
        <v>65</v>
      </c>
      <c r="N438">
        <v>572.58000000000004</v>
      </c>
      <c r="O438" t="s">
        <v>74</v>
      </c>
      <c r="P438">
        <v>2025</v>
      </c>
      <c r="Q438">
        <f>IF(Nike_Sales_Cleaned[[#This Row],[Revenue]] = 0, 0, Nike_Sales_Cleaned[[#This Row],[Profit]]/Nike_Sales_Cleaned[[#This Row],[Revenue]])</f>
        <v>0.10693155842409574</v>
      </c>
    </row>
    <row r="439" spans="1:17" x14ac:dyDescent="0.3">
      <c r="A439">
        <v>4238</v>
      </c>
      <c r="B439" t="s">
        <v>27</v>
      </c>
      <c r="C439" t="s">
        <v>16</v>
      </c>
      <c r="D439" t="s">
        <v>42</v>
      </c>
      <c r="E439" t="s">
        <v>25</v>
      </c>
      <c r="F439">
        <v>2</v>
      </c>
      <c r="G439">
        <v>5940.3850000000002</v>
      </c>
      <c r="H439">
        <v>0</v>
      </c>
      <c r="I439">
        <v>5939.3850000000002</v>
      </c>
      <c r="J439">
        <v>11878.77</v>
      </c>
      <c r="K439" s="1">
        <v>45640</v>
      </c>
      <c r="L439" t="s">
        <v>14</v>
      </c>
      <c r="M439" t="s">
        <v>61</v>
      </c>
      <c r="N439">
        <v>-321.44</v>
      </c>
      <c r="O439" t="s">
        <v>74</v>
      </c>
      <c r="P439">
        <v>2024</v>
      </c>
      <c r="Q439">
        <f>IF(Nike_Sales_Cleaned[[#This Row],[Revenue]] = 0, 0, Nike_Sales_Cleaned[[#This Row],[Profit]]/Nike_Sales_Cleaned[[#This Row],[Revenue]])</f>
        <v>-2.7060040728122525E-2</v>
      </c>
    </row>
    <row r="440" spans="1:17" x14ac:dyDescent="0.3">
      <c r="A440">
        <v>4245</v>
      </c>
      <c r="B440" t="s">
        <v>10</v>
      </c>
      <c r="C440" t="s">
        <v>31</v>
      </c>
      <c r="D440" t="s">
        <v>39</v>
      </c>
      <c r="E440" t="s">
        <v>13</v>
      </c>
      <c r="F440">
        <v>3</v>
      </c>
      <c r="G440">
        <v>7845.46</v>
      </c>
      <c r="H440">
        <v>0.17</v>
      </c>
      <c r="I440">
        <v>7844.63</v>
      </c>
      <c r="J440">
        <v>23533.89</v>
      </c>
      <c r="K440" s="1">
        <v>45638</v>
      </c>
      <c r="L440" t="s">
        <v>14</v>
      </c>
      <c r="M440" t="s">
        <v>65</v>
      </c>
      <c r="N440">
        <v>2445.12</v>
      </c>
      <c r="O440" t="s">
        <v>76</v>
      </c>
      <c r="P440">
        <v>2024</v>
      </c>
      <c r="Q440">
        <f>IF(Nike_Sales_Cleaned[[#This Row],[Revenue]] = 0, 0, Nike_Sales_Cleaned[[#This Row],[Profit]]/Nike_Sales_Cleaned[[#This Row],[Revenue]])</f>
        <v>0.10389782564633386</v>
      </c>
    </row>
    <row r="441" spans="1:17" x14ac:dyDescent="0.3">
      <c r="A441">
        <v>4247</v>
      </c>
      <c r="B441" t="s">
        <v>10</v>
      </c>
      <c r="C441" t="s">
        <v>11</v>
      </c>
      <c r="D441" t="s">
        <v>26</v>
      </c>
      <c r="E441" t="s">
        <v>13</v>
      </c>
      <c r="F441">
        <v>1</v>
      </c>
      <c r="G441">
        <v>5649.73</v>
      </c>
      <c r="H441">
        <v>0.69</v>
      </c>
      <c r="I441">
        <v>5649.4199999999992</v>
      </c>
      <c r="J441">
        <v>5649.4199999999992</v>
      </c>
      <c r="K441" s="1">
        <v>45714</v>
      </c>
      <c r="L441" t="s">
        <v>18</v>
      </c>
      <c r="M441" t="s">
        <v>66</v>
      </c>
      <c r="N441">
        <v>1585.72</v>
      </c>
      <c r="O441" t="s">
        <v>75</v>
      </c>
      <c r="P441">
        <v>2025</v>
      </c>
      <c r="Q441">
        <f>IF(Nike_Sales_Cleaned[[#This Row],[Revenue]] = 0, 0, Nike_Sales_Cleaned[[#This Row],[Profit]]/Nike_Sales_Cleaned[[#This Row],[Revenue]])</f>
        <v>0.28068722098905735</v>
      </c>
    </row>
    <row r="442" spans="1:17" x14ac:dyDescent="0.3">
      <c r="A442">
        <v>4249</v>
      </c>
      <c r="B442" t="s">
        <v>10</v>
      </c>
      <c r="C442" t="s">
        <v>11</v>
      </c>
      <c r="D442" t="s">
        <v>26</v>
      </c>
      <c r="E442" t="s">
        <v>22</v>
      </c>
      <c r="F442">
        <v>1</v>
      </c>
      <c r="G442">
        <v>5649.73</v>
      </c>
      <c r="H442">
        <v>0.6</v>
      </c>
      <c r="I442">
        <v>5649.33</v>
      </c>
      <c r="J442">
        <v>5649.33</v>
      </c>
      <c r="K442" s="1">
        <v>45576</v>
      </c>
      <c r="L442" t="s">
        <v>18</v>
      </c>
      <c r="M442" t="s">
        <v>64</v>
      </c>
      <c r="N442">
        <v>-855.08</v>
      </c>
      <c r="O442" t="s">
        <v>75</v>
      </c>
      <c r="P442">
        <v>2024</v>
      </c>
      <c r="Q442">
        <f>IF(Nike_Sales_Cleaned[[#This Row],[Revenue]] = 0, 0, Nike_Sales_Cleaned[[#This Row],[Profit]]/Nike_Sales_Cleaned[[#This Row],[Revenue]])</f>
        <v>-0.15135954175096872</v>
      </c>
    </row>
    <row r="443" spans="1:17" x14ac:dyDescent="0.3">
      <c r="A443">
        <v>4251</v>
      </c>
      <c r="B443" t="s">
        <v>10</v>
      </c>
      <c r="C443" t="s">
        <v>31</v>
      </c>
      <c r="D443" t="s">
        <v>48</v>
      </c>
      <c r="E443" t="s">
        <v>13</v>
      </c>
      <c r="F443">
        <v>1</v>
      </c>
      <c r="G443">
        <v>5355.64</v>
      </c>
      <c r="H443">
        <v>0.59</v>
      </c>
      <c r="I443">
        <v>5355.2300000000005</v>
      </c>
      <c r="J443">
        <v>5355.2300000000005</v>
      </c>
      <c r="K443" s="1">
        <v>45298</v>
      </c>
      <c r="L443" t="s">
        <v>18</v>
      </c>
      <c r="M443" t="s">
        <v>63</v>
      </c>
      <c r="N443">
        <v>354.2</v>
      </c>
      <c r="O443" t="s">
        <v>75</v>
      </c>
      <c r="P443">
        <v>2024</v>
      </c>
      <c r="Q443">
        <f>IF(Nike_Sales_Cleaned[[#This Row],[Revenue]] = 0, 0, Nike_Sales_Cleaned[[#This Row],[Profit]]/Nike_Sales_Cleaned[[#This Row],[Revenue]])</f>
        <v>6.6140950061902098E-2</v>
      </c>
    </row>
    <row r="444" spans="1:17" x14ac:dyDescent="0.3">
      <c r="A444">
        <v>4256</v>
      </c>
      <c r="B444" t="s">
        <v>15</v>
      </c>
      <c r="C444" t="s">
        <v>16</v>
      </c>
      <c r="D444" t="s">
        <v>17</v>
      </c>
      <c r="E444" t="s">
        <v>25</v>
      </c>
      <c r="F444">
        <v>4</v>
      </c>
      <c r="G444">
        <v>5234.1550000000007</v>
      </c>
      <c r="H444">
        <v>0.52</v>
      </c>
      <c r="I444">
        <v>5233.6750000000011</v>
      </c>
      <c r="J444">
        <v>20934.700000000004</v>
      </c>
      <c r="K444" s="1">
        <v>45644</v>
      </c>
      <c r="L444" t="s">
        <v>14</v>
      </c>
      <c r="M444" t="s">
        <v>61</v>
      </c>
      <c r="N444">
        <v>-782.15</v>
      </c>
      <c r="O444" t="s">
        <v>75</v>
      </c>
      <c r="P444">
        <v>2024</v>
      </c>
      <c r="Q444">
        <f>IF(Nike_Sales_Cleaned[[#This Row],[Revenue]] = 0, 0, Nike_Sales_Cleaned[[#This Row],[Profit]]/Nike_Sales_Cleaned[[#This Row],[Revenue]])</f>
        <v>-3.736141430256941E-2</v>
      </c>
    </row>
    <row r="445" spans="1:17" x14ac:dyDescent="0.3">
      <c r="A445">
        <v>4266</v>
      </c>
      <c r="B445" t="s">
        <v>27</v>
      </c>
      <c r="C445" t="s">
        <v>20</v>
      </c>
      <c r="D445" t="s">
        <v>30</v>
      </c>
      <c r="E445" t="s">
        <v>25</v>
      </c>
      <c r="F445">
        <v>3</v>
      </c>
      <c r="G445">
        <v>6216.29</v>
      </c>
      <c r="H445">
        <v>0</v>
      </c>
      <c r="I445">
        <v>6215.29</v>
      </c>
      <c r="J445">
        <v>18645.87</v>
      </c>
      <c r="K445" s="1">
        <v>45842</v>
      </c>
      <c r="L445" t="s">
        <v>14</v>
      </c>
      <c r="M445" t="s">
        <v>63</v>
      </c>
      <c r="N445">
        <v>-898.11</v>
      </c>
      <c r="O445" t="s">
        <v>74</v>
      </c>
      <c r="P445">
        <v>2025</v>
      </c>
      <c r="Q445">
        <f>IF(Nike_Sales_Cleaned[[#This Row],[Revenue]] = 0, 0, Nike_Sales_Cleaned[[#This Row],[Profit]]/Nike_Sales_Cleaned[[#This Row],[Revenue]])</f>
        <v>-4.8166698577218441E-2</v>
      </c>
    </row>
    <row r="446" spans="1:17" x14ac:dyDescent="0.3">
      <c r="A446">
        <v>4273</v>
      </c>
      <c r="B446" t="s">
        <v>10</v>
      </c>
      <c r="C446" t="s">
        <v>16</v>
      </c>
      <c r="D446" t="s">
        <v>42</v>
      </c>
      <c r="E446" t="s">
        <v>44</v>
      </c>
      <c r="F446">
        <v>3</v>
      </c>
      <c r="G446">
        <v>5940.3850000000002</v>
      </c>
      <c r="H446">
        <v>0</v>
      </c>
      <c r="I446">
        <v>5939.3850000000002</v>
      </c>
      <c r="J446">
        <v>17818.154999999999</v>
      </c>
      <c r="K446" s="1">
        <v>45677</v>
      </c>
      <c r="L446" t="s">
        <v>18</v>
      </c>
      <c r="M446" t="s">
        <v>63</v>
      </c>
      <c r="N446">
        <v>1161.05</v>
      </c>
      <c r="O446" t="s">
        <v>74</v>
      </c>
      <c r="P446">
        <v>2025</v>
      </c>
      <c r="Q446">
        <f>IF(Nike_Sales_Cleaned[[#This Row],[Revenue]] = 0, 0, Nike_Sales_Cleaned[[#This Row],[Profit]]/Nike_Sales_Cleaned[[#This Row],[Revenue]])</f>
        <v>6.5161067461810718E-2</v>
      </c>
    </row>
    <row r="447" spans="1:17" x14ac:dyDescent="0.3">
      <c r="A447">
        <v>4276</v>
      </c>
      <c r="B447" t="s">
        <v>27</v>
      </c>
      <c r="C447" t="s">
        <v>31</v>
      </c>
      <c r="D447" t="s">
        <v>38</v>
      </c>
      <c r="E447" t="s">
        <v>28</v>
      </c>
      <c r="F447">
        <v>3</v>
      </c>
      <c r="G447">
        <v>5117.8649999999998</v>
      </c>
      <c r="H447">
        <v>0</v>
      </c>
      <c r="I447">
        <v>5116.8649999999998</v>
      </c>
      <c r="J447">
        <v>15350.594999999999</v>
      </c>
      <c r="K447" s="1">
        <v>45693</v>
      </c>
      <c r="L447" t="s">
        <v>18</v>
      </c>
      <c r="M447" t="s">
        <v>64</v>
      </c>
      <c r="N447">
        <v>-1109.4000000000001</v>
      </c>
      <c r="O447" t="s">
        <v>74</v>
      </c>
      <c r="P447">
        <v>2025</v>
      </c>
      <c r="Q447">
        <f>IF(Nike_Sales_Cleaned[[#This Row],[Revenue]] = 0, 0, Nike_Sales_Cleaned[[#This Row],[Profit]]/Nike_Sales_Cleaned[[#This Row],[Revenue]])</f>
        <v>-7.2270814258339838E-2</v>
      </c>
    </row>
    <row r="448" spans="1:17" x14ac:dyDescent="0.3">
      <c r="A448">
        <v>4283</v>
      </c>
      <c r="B448" t="s">
        <v>27</v>
      </c>
      <c r="C448" t="s">
        <v>11</v>
      </c>
      <c r="D448" t="s">
        <v>41</v>
      </c>
      <c r="E448" t="s">
        <v>13</v>
      </c>
      <c r="F448">
        <v>1</v>
      </c>
      <c r="G448">
        <v>7594.7199999999993</v>
      </c>
      <c r="H448">
        <v>0.95</v>
      </c>
      <c r="I448">
        <v>7594.6699999999992</v>
      </c>
      <c r="J448">
        <v>7594.6699999999992</v>
      </c>
      <c r="K448" s="1">
        <v>45714</v>
      </c>
      <c r="L448" t="s">
        <v>18</v>
      </c>
      <c r="M448" t="s">
        <v>64</v>
      </c>
      <c r="N448">
        <v>1158.69</v>
      </c>
      <c r="O448" t="s">
        <v>75</v>
      </c>
      <c r="P448">
        <v>2025</v>
      </c>
      <c r="Q448">
        <f>IF(Nike_Sales_Cleaned[[#This Row],[Revenue]] = 0, 0, Nike_Sales_Cleaned[[#This Row],[Profit]]/Nike_Sales_Cleaned[[#This Row],[Revenue]])</f>
        <v>0.15256620761665748</v>
      </c>
    </row>
    <row r="449" spans="1:17" x14ac:dyDescent="0.3">
      <c r="A449">
        <v>4292</v>
      </c>
      <c r="B449" t="s">
        <v>27</v>
      </c>
      <c r="C449" t="s">
        <v>11</v>
      </c>
      <c r="D449" t="s">
        <v>41</v>
      </c>
      <c r="E449" t="s">
        <v>22</v>
      </c>
      <c r="F449">
        <v>2</v>
      </c>
      <c r="G449">
        <v>7594.7199999999993</v>
      </c>
      <c r="H449">
        <v>0.23</v>
      </c>
      <c r="I449">
        <v>7593.9499999999989</v>
      </c>
      <c r="J449">
        <v>15187.899999999998</v>
      </c>
      <c r="K449" s="1">
        <v>45620</v>
      </c>
      <c r="L449" t="s">
        <v>14</v>
      </c>
      <c r="M449" t="s">
        <v>65</v>
      </c>
      <c r="N449">
        <v>1328.75</v>
      </c>
      <c r="O449" t="s">
        <v>78</v>
      </c>
      <c r="P449">
        <v>2024</v>
      </c>
      <c r="Q449">
        <f>IF(Nike_Sales_Cleaned[[#This Row],[Revenue]] = 0, 0, Nike_Sales_Cleaned[[#This Row],[Profit]]/Nike_Sales_Cleaned[[#This Row],[Revenue]])</f>
        <v>8.7487407739055445E-2</v>
      </c>
    </row>
    <row r="450" spans="1:17" x14ac:dyDescent="0.3">
      <c r="A450">
        <v>4295</v>
      </c>
      <c r="B450" t="s">
        <v>15</v>
      </c>
      <c r="C450" t="s">
        <v>31</v>
      </c>
      <c r="D450" t="s">
        <v>32</v>
      </c>
      <c r="E450" t="s">
        <v>46</v>
      </c>
      <c r="F450">
        <v>4</v>
      </c>
      <c r="G450">
        <v>5981.92</v>
      </c>
      <c r="H450">
        <v>0</v>
      </c>
      <c r="I450">
        <v>5980.92</v>
      </c>
      <c r="J450">
        <v>23923.68</v>
      </c>
      <c r="K450" s="1">
        <v>45731</v>
      </c>
      <c r="L450" t="s">
        <v>18</v>
      </c>
      <c r="M450" t="s">
        <v>63</v>
      </c>
      <c r="N450">
        <v>-1033.4100000000001</v>
      </c>
      <c r="O450" t="s">
        <v>74</v>
      </c>
      <c r="P450">
        <v>2025</v>
      </c>
      <c r="Q450">
        <f>IF(Nike_Sales_Cleaned[[#This Row],[Revenue]] = 0, 0, Nike_Sales_Cleaned[[#This Row],[Profit]]/Nike_Sales_Cleaned[[#This Row],[Revenue]])</f>
        <v>-4.319611364137959E-2</v>
      </c>
    </row>
    <row r="451" spans="1:17" x14ac:dyDescent="0.3">
      <c r="A451">
        <v>4311</v>
      </c>
      <c r="B451" t="s">
        <v>27</v>
      </c>
      <c r="C451" t="s">
        <v>11</v>
      </c>
      <c r="D451" t="s">
        <v>12</v>
      </c>
      <c r="E451" t="s">
        <v>22</v>
      </c>
      <c r="F451">
        <v>3</v>
      </c>
      <c r="G451">
        <v>5873.83</v>
      </c>
      <c r="H451">
        <v>0.46</v>
      </c>
      <c r="I451">
        <v>5873.29</v>
      </c>
      <c r="J451">
        <v>17619.87</v>
      </c>
      <c r="K451" s="1">
        <v>45154</v>
      </c>
      <c r="L451" t="s">
        <v>18</v>
      </c>
      <c r="M451" t="s">
        <v>64</v>
      </c>
      <c r="N451">
        <v>2595.5100000000002</v>
      </c>
      <c r="O451" t="s">
        <v>77</v>
      </c>
      <c r="P451">
        <v>2023</v>
      </c>
      <c r="Q451">
        <f>IF(Nike_Sales_Cleaned[[#This Row],[Revenue]] = 0, 0, Nike_Sales_Cleaned[[#This Row],[Profit]]/Nike_Sales_Cleaned[[#This Row],[Revenue]])</f>
        <v>0.14730585412945726</v>
      </c>
    </row>
    <row r="452" spans="1:17" x14ac:dyDescent="0.3">
      <c r="A452">
        <v>4315</v>
      </c>
      <c r="B452" t="s">
        <v>15</v>
      </c>
      <c r="C452" t="s">
        <v>20</v>
      </c>
      <c r="D452" t="s">
        <v>45</v>
      </c>
      <c r="E452" t="s">
        <v>13</v>
      </c>
      <c r="F452">
        <v>4</v>
      </c>
      <c r="G452">
        <v>6202.99</v>
      </c>
      <c r="H452">
        <v>0</v>
      </c>
      <c r="I452">
        <v>6201.99</v>
      </c>
      <c r="J452">
        <v>24807.96</v>
      </c>
      <c r="K452" s="1">
        <v>45355</v>
      </c>
      <c r="L452" t="s">
        <v>18</v>
      </c>
      <c r="M452" t="s">
        <v>62</v>
      </c>
      <c r="N452">
        <v>3322.21</v>
      </c>
      <c r="O452" t="s">
        <v>74</v>
      </c>
      <c r="P452">
        <v>2024</v>
      </c>
      <c r="Q452">
        <f>IF(Nike_Sales_Cleaned[[#This Row],[Revenue]] = 0, 0, Nike_Sales_Cleaned[[#This Row],[Profit]]/Nike_Sales_Cleaned[[#This Row],[Revenue]])</f>
        <v>0.13391709757674553</v>
      </c>
    </row>
    <row r="453" spans="1:17" x14ac:dyDescent="0.3">
      <c r="A453">
        <v>2003</v>
      </c>
      <c r="B453" t="s">
        <v>27</v>
      </c>
      <c r="C453" t="s">
        <v>20</v>
      </c>
      <c r="D453" t="s">
        <v>21</v>
      </c>
      <c r="E453" t="s">
        <v>13</v>
      </c>
      <c r="F453">
        <v>3</v>
      </c>
      <c r="G453">
        <v>4904.79</v>
      </c>
      <c r="H453">
        <v>0.36</v>
      </c>
      <c r="I453">
        <v>4904.1499999999996</v>
      </c>
      <c r="J453">
        <v>14712.449999999999</v>
      </c>
      <c r="K453" s="1">
        <v>45520</v>
      </c>
      <c r="L453" t="s">
        <v>18</v>
      </c>
      <c r="M453" t="s">
        <v>65</v>
      </c>
      <c r="N453">
        <v>1884.04</v>
      </c>
      <c r="O453" t="s">
        <v>77</v>
      </c>
      <c r="P453">
        <v>2024</v>
      </c>
      <c r="Q453">
        <f>IF(Nike_Sales_Cleaned[[#This Row],[Revenue]] = 0, 0, Nike_Sales_Cleaned[[#This Row],[Profit]]/Nike_Sales_Cleaned[[#This Row],[Revenue]])</f>
        <v>0.12805752950732205</v>
      </c>
    </row>
    <row r="454" spans="1:17" x14ac:dyDescent="0.3">
      <c r="A454">
        <v>4330</v>
      </c>
      <c r="B454" t="s">
        <v>10</v>
      </c>
      <c r="C454" t="s">
        <v>20</v>
      </c>
      <c r="D454" t="s">
        <v>47</v>
      </c>
      <c r="E454" t="s">
        <v>13</v>
      </c>
      <c r="F454">
        <v>1</v>
      </c>
      <c r="G454">
        <v>6010.71</v>
      </c>
      <c r="H454">
        <v>0</v>
      </c>
      <c r="I454">
        <v>6009.71</v>
      </c>
      <c r="J454">
        <v>6009.71</v>
      </c>
      <c r="K454" s="1">
        <v>45855</v>
      </c>
      <c r="L454" t="s">
        <v>18</v>
      </c>
      <c r="M454" t="s">
        <v>64</v>
      </c>
      <c r="N454">
        <v>-831.23</v>
      </c>
      <c r="O454" t="s">
        <v>74</v>
      </c>
      <c r="P454">
        <v>2025</v>
      </c>
      <c r="Q454">
        <f>IF(Nike_Sales_Cleaned[[#This Row],[Revenue]] = 0, 0, Nike_Sales_Cleaned[[#This Row],[Profit]]/Nike_Sales_Cleaned[[#This Row],[Revenue]])</f>
        <v>-0.13831449437660054</v>
      </c>
    </row>
    <row r="455" spans="1:17" x14ac:dyDescent="0.3">
      <c r="A455">
        <v>4358</v>
      </c>
      <c r="B455" t="s">
        <v>10</v>
      </c>
      <c r="C455" t="s">
        <v>31</v>
      </c>
      <c r="D455" t="s">
        <v>48</v>
      </c>
      <c r="E455" t="s">
        <v>25</v>
      </c>
      <c r="F455">
        <v>2</v>
      </c>
      <c r="G455">
        <v>5355.64</v>
      </c>
      <c r="H455">
        <v>0.43</v>
      </c>
      <c r="I455">
        <v>5355.0700000000006</v>
      </c>
      <c r="J455">
        <v>10710.140000000001</v>
      </c>
      <c r="K455" s="1">
        <v>45583</v>
      </c>
      <c r="L455" t="s">
        <v>14</v>
      </c>
      <c r="M455" t="s">
        <v>63</v>
      </c>
      <c r="N455">
        <v>2538.9699999999998</v>
      </c>
      <c r="O455" t="s">
        <v>77</v>
      </c>
      <c r="P455">
        <v>2024</v>
      </c>
      <c r="Q455">
        <f>IF(Nike_Sales_Cleaned[[#This Row],[Revenue]] = 0, 0, Nike_Sales_Cleaned[[#This Row],[Profit]]/Nike_Sales_Cleaned[[#This Row],[Revenue]])</f>
        <v>0.23706226062404409</v>
      </c>
    </row>
    <row r="456" spans="1:17" x14ac:dyDescent="0.3">
      <c r="A456">
        <v>4363</v>
      </c>
      <c r="B456" t="s">
        <v>10</v>
      </c>
      <c r="C456" t="s">
        <v>31</v>
      </c>
      <c r="D456" t="s">
        <v>32</v>
      </c>
      <c r="E456" t="s">
        <v>22</v>
      </c>
      <c r="F456">
        <v>2</v>
      </c>
      <c r="G456">
        <v>5981.92</v>
      </c>
      <c r="H456">
        <v>0.75</v>
      </c>
      <c r="I456">
        <v>5981.67</v>
      </c>
      <c r="J456">
        <v>11963.34</v>
      </c>
      <c r="K456" s="1">
        <v>45620</v>
      </c>
      <c r="L456" t="s">
        <v>14</v>
      </c>
      <c r="M456" t="s">
        <v>65</v>
      </c>
      <c r="N456">
        <v>-1071.83</v>
      </c>
      <c r="O456" t="s">
        <v>75</v>
      </c>
      <c r="P456">
        <v>2024</v>
      </c>
      <c r="Q456">
        <f>IF(Nike_Sales_Cleaned[[#This Row],[Revenue]] = 0, 0, Nike_Sales_Cleaned[[#This Row],[Profit]]/Nike_Sales_Cleaned[[#This Row],[Revenue]])</f>
        <v>-8.9592872893355865E-2</v>
      </c>
    </row>
    <row r="457" spans="1:17" x14ac:dyDescent="0.3">
      <c r="A457">
        <v>4370</v>
      </c>
      <c r="B457" t="s">
        <v>15</v>
      </c>
      <c r="C457" t="s">
        <v>23</v>
      </c>
      <c r="D457" t="s">
        <v>43</v>
      </c>
      <c r="E457" t="s">
        <v>22</v>
      </c>
      <c r="F457">
        <v>2</v>
      </c>
      <c r="G457">
        <v>6577.39</v>
      </c>
      <c r="H457">
        <v>0.38</v>
      </c>
      <c r="I457">
        <v>6576.77</v>
      </c>
      <c r="J457">
        <v>13153.54</v>
      </c>
      <c r="K457" s="1">
        <v>45578</v>
      </c>
      <c r="L457" t="s">
        <v>18</v>
      </c>
      <c r="M457" t="s">
        <v>63</v>
      </c>
      <c r="N457">
        <v>2530.73</v>
      </c>
      <c r="O457" t="s">
        <v>77</v>
      </c>
      <c r="P457">
        <v>2024</v>
      </c>
      <c r="Q457">
        <f>IF(Nike_Sales_Cleaned[[#This Row],[Revenue]] = 0, 0, Nike_Sales_Cleaned[[#This Row],[Profit]]/Nike_Sales_Cleaned[[#This Row],[Revenue]])</f>
        <v>0.19239915642481034</v>
      </c>
    </row>
    <row r="458" spans="1:17" x14ac:dyDescent="0.3">
      <c r="A458">
        <v>4374</v>
      </c>
      <c r="B458" t="s">
        <v>15</v>
      </c>
      <c r="C458" t="s">
        <v>31</v>
      </c>
      <c r="D458" t="s">
        <v>39</v>
      </c>
      <c r="E458" t="s">
        <v>25</v>
      </c>
      <c r="F458">
        <v>3</v>
      </c>
      <c r="G458">
        <v>7845.46</v>
      </c>
      <c r="H458">
        <v>0</v>
      </c>
      <c r="I458">
        <v>7844.46</v>
      </c>
      <c r="J458">
        <v>23533.38</v>
      </c>
      <c r="K458" s="1">
        <v>45615</v>
      </c>
      <c r="L458" t="s">
        <v>18</v>
      </c>
      <c r="M458" t="s">
        <v>62</v>
      </c>
      <c r="N458">
        <v>-1129.3800000000001</v>
      </c>
      <c r="O458" t="s">
        <v>74</v>
      </c>
      <c r="P458">
        <v>2024</v>
      </c>
      <c r="Q458">
        <f>IF(Nike_Sales_Cleaned[[#This Row],[Revenue]] = 0, 0, Nike_Sales_Cleaned[[#This Row],[Profit]]/Nike_Sales_Cleaned[[#This Row],[Revenue]])</f>
        <v>-4.7990556392664377E-2</v>
      </c>
    </row>
    <row r="459" spans="1:17" x14ac:dyDescent="0.3">
      <c r="A459">
        <v>4395</v>
      </c>
      <c r="B459" t="s">
        <v>10</v>
      </c>
      <c r="C459" t="s">
        <v>23</v>
      </c>
      <c r="D459" t="s">
        <v>35</v>
      </c>
      <c r="E459" t="s">
        <v>13</v>
      </c>
      <c r="F459">
        <v>2</v>
      </c>
      <c r="G459">
        <v>5282.31</v>
      </c>
      <c r="H459">
        <v>0</v>
      </c>
      <c r="I459">
        <v>5281.31</v>
      </c>
      <c r="J459">
        <v>10562.62</v>
      </c>
      <c r="K459" s="1">
        <v>45767</v>
      </c>
      <c r="L459" t="s">
        <v>14</v>
      </c>
      <c r="M459" t="s">
        <v>63</v>
      </c>
      <c r="N459">
        <v>3365.61</v>
      </c>
      <c r="O459" t="s">
        <v>74</v>
      </c>
      <c r="P459">
        <v>2025</v>
      </c>
      <c r="Q459">
        <f>IF(Nike_Sales_Cleaned[[#This Row],[Revenue]] = 0, 0, Nike_Sales_Cleaned[[#This Row],[Profit]]/Nike_Sales_Cleaned[[#This Row],[Revenue]])</f>
        <v>0.31863401315203993</v>
      </c>
    </row>
    <row r="460" spans="1:17" x14ac:dyDescent="0.3">
      <c r="A460">
        <v>4398</v>
      </c>
      <c r="B460" t="s">
        <v>27</v>
      </c>
      <c r="C460" t="s">
        <v>16</v>
      </c>
      <c r="D460" t="s">
        <v>19</v>
      </c>
      <c r="E460" t="s">
        <v>25</v>
      </c>
      <c r="F460">
        <v>2</v>
      </c>
      <c r="G460">
        <v>5178.83</v>
      </c>
      <c r="H460">
        <v>0</v>
      </c>
      <c r="I460">
        <v>5177.83</v>
      </c>
      <c r="J460">
        <v>10355.66</v>
      </c>
      <c r="K460" s="1">
        <v>45472</v>
      </c>
      <c r="L460" t="s">
        <v>14</v>
      </c>
      <c r="M460" t="s">
        <v>65</v>
      </c>
      <c r="N460">
        <v>1971.9</v>
      </c>
      <c r="O460" t="s">
        <v>74</v>
      </c>
      <c r="P460">
        <v>2024</v>
      </c>
      <c r="Q460">
        <f>IF(Nike_Sales_Cleaned[[#This Row],[Revenue]] = 0, 0, Nike_Sales_Cleaned[[#This Row],[Profit]]/Nike_Sales_Cleaned[[#This Row],[Revenue]])</f>
        <v>0.19041760737606295</v>
      </c>
    </row>
    <row r="461" spans="1:17" x14ac:dyDescent="0.3">
      <c r="A461">
        <v>4400</v>
      </c>
      <c r="B461" t="s">
        <v>15</v>
      </c>
      <c r="C461" t="s">
        <v>20</v>
      </c>
      <c r="D461" t="s">
        <v>47</v>
      </c>
      <c r="E461" t="s">
        <v>13</v>
      </c>
      <c r="F461">
        <v>4</v>
      </c>
      <c r="G461">
        <v>6010.71</v>
      </c>
      <c r="H461">
        <v>0.28000000000000003</v>
      </c>
      <c r="I461">
        <v>6009.99</v>
      </c>
      <c r="J461">
        <v>24039.96</v>
      </c>
      <c r="K461" s="1">
        <v>45804</v>
      </c>
      <c r="L461" t="s">
        <v>18</v>
      </c>
      <c r="M461" t="s">
        <v>66</v>
      </c>
      <c r="N461">
        <v>1334.4</v>
      </c>
      <c r="O461" t="s">
        <v>78</v>
      </c>
      <c r="P461">
        <v>2025</v>
      </c>
      <c r="Q461">
        <f>IF(Nike_Sales_Cleaned[[#This Row],[Revenue]] = 0, 0, Nike_Sales_Cleaned[[#This Row],[Profit]]/Nike_Sales_Cleaned[[#This Row],[Revenue]])</f>
        <v>5.550757987950064E-2</v>
      </c>
    </row>
    <row r="462" spans="1:17" x14ac:dyDescent="0.3">
      <c r="A462">
        <v>4412</v>
      </c>
      <c r="B462" t="s">
        <v>10</v>
      </c>
      <c r="C462" t="s">
        <v>20</v>
      </c>
      <c r="D462" t="s">
        <v>21</v>
      </c>
      <c r="E462" t="s">
        <v>25</v>
      </c>
      <c r="F462">
        <v>1</v>
      </c>
      <c r="G462">
        <v>4904.79</v>
      </c>
      <c r="H462">
        <v>0</v>
      </c>
      <c r="I462">
        <v>4903.79</v>
      </c>
      <c r="J462">
        <v>4903.79</v>
      </c>
      <c r="K462" s="1">
        <v>45802</v>
      </c>
      <c r="L462" t="s">
        <v>14</v>
      </c>
      <c r="M462" t="s">
        <v>66</v>
      </c>
      <c r="N462">
        <v>3452.75</v>
      </c>
      <c r="O462" t="s">
        <v>74</v>
      </c>
      <c r="P462">
        <v>2025</v>
      </c>
      <c r="Q462">
        <f>IF(Nike_Sales_Cleaned[[#This Row],[Revenue]] = 0, 0, Nike_Sales_Cleaned[[#This Row],[Profit]]/Nike_Sales_Cleaned[[#This Row],[Revenue]])</f>
        <v>0.70409825869378584</v>
      </c>
    </row>
    <row r="463" spans="1:17" x14ac:dyDescent="0.3">
      <c r="A463">
        <v>4423</v>
      </c>
      <c r="B463" t="s">
        <v>27</v>
      </c>
      <c r="C463" t="s">
        <v>23</v>
      </c>
      <c r="D463" t="s">
        <v>37</v>
      </c>
      <c r="E463" t="s">
        <v>36</v>
      </c>
      <c r="F463">
        <v>1</v>
      </c>
      <c r="G463">
        <v>5620.64</v>
      </c>
      <c r="H463">
        <v>0</v>
      </c>
      <c r="I463">
        <v>5619.64</v>
      </c>
      <c r="J463">
        <v>5619.64</v>
      </c>
      <c r="K463" s="1">
        <v>45660</v>
      </c>
      <c r="L463" t="s">
        <v>18</v>
      </c>
      <c r="M463" t="s">
        <v>62</v>
      </c>
      <c r="N463">
        <v>57.84</v>
      </c>
      <c r="O463" t="s">
        <v>74</v>
      </c>
      <c r="P463">
        <v>2025</v>
      </c>
      <c r="Q463">
        <f>IF(Nike_Sales_Cleaned[[#This Row],[Revenue]] = 0, 0, Nike_Sales_Cleaned[[#This Row],[Profit]]/Nike_Sales_Cleaned[[#This Row],[Revenue]])</f>
        <v>1.0292474251019638E-2</v>
      </c>
    </row>
    <row r="464" spans="1:17" x14ac:dyDescent="0.3">
      <c r="A464">
        <v>4426</v>
      </c>
      <c r="B464" t="s">
        <v>27</v>
      </c>
      <c r="C464" t="s">
        <v>20</v>
      </c>
      <c r="D464" t="s">
        <v>21</v>
      </c>
      <c r="E464" t="s">
        <v>13</v>
      </c>
      <c r="F464">
        <v>1</v>
      </c>
      <c r="G464">
        <v>4904.79</v>
      </c>
      <c r="H464">
        <v>0</v>
      </c>
      <c r="I464">
        <v>4903.79</v>
      </c>
      <c r="J464">
        <v>4903.79</v>
      </c>
      <c r="K464" s="1">
        <v>45628</v>
      </c>
      <c r="L464" t="s">
        <v>14</v>
      </c>
      <c r="M464" t="s">
        <v>62</v>
      </c>
      <c r="N464">
        <v>2133.39</v>
      </c>
      <c r="O464" t="s">
        <v>74</v>
      </c>
      <c r="P464">
        <v>2024</v>
      </c>
      <c r="Q464">
        <f>IF(Nike_Sales_Cleaned[[#This Row],[Revenue]] = 0, 0, Nike_Sales_Cleaned[[#This Row],[Profit]]/Nike_Sales_Cleaned[[#This Row],[Revenue]])</f>
        <v>0.43504921703417149</v>
      </c>
    </row>
    <row r="465" spans="1:17" x14ac:dyDescent="0.3">
      <c r="A465">
        <v>4429</v>
      </c>
      <c r="B465" t="s">
        <v>10</v>
      </c>
      <c r="C465" t="s">
        <v>16</v>
      </c>
      <c r="D465" t="s">
        <v>19</v>
      </c>
      <c r="E465" t="s">
        <v>25</v>
      </c>
      <c r="F465">
        <v>2</v>
      </c>
      <c r="G465">
        <v>5178.83</v>
      </c>
      <c r="H465">
        <v>0.49</v>
      </c>
      <c r="I465">
        <v>5178.32</v>
      </c>
      <c r="J465">
        <v>10356.64</v>
      </c>
      <c r="K465" s="1">
        <v>45675</v>
      </c>
      <c r="L465" t="s">
        <v>18</v>
      </c>
      <c r="M465" t="s">
        <v>66</v>
      </c>
      <c r="N465">
        <v>3905.15</v>
      </c>
      <c r="O465" t="s">
        <v>77</v>
      </c>
      <c r="P465">
        <v>2025</v>
      </c>
      <c r="Q465">
        <f>IF(Nike_Sales_Cleaned[[#This Row],[Revenue]] = 0, 0, Nike_Sales_Cleaned[[#This Row],[Profit]]/Nike_Sales_Cleaned[[#This Row],[Revenue]])</f>
        <v>0.37706727278345104</v>
      </c>
    </row>
    <row r="466" spans="1:17" x14ac:dyDescent="0.3">
      <c r="A466">
        <v>4430</v>
      </c>
      <c r="B466" t="s">
        <v>10</v>
      </c>
      <c r="C466" t="s">
        <v>31</v>
      </c>
      <c r="D466" t="s">
        <v>38</v>
      </c>
      <c r="E466" t="s">
        <v>22</v>
      </c>
      <c r="F466">
        <v>2</v>
      </c>
      <c r="G466">
        <v>5117.8649999999998</v>
      </c>
      <c r="H466">
        <v>0.15</v>
      </c>
      <c r="I466">
        <v>5117.0149999999994</v>
      </c>
      <c r="J466">
        <v>10234.029999999999</v>
      </c>
      <c r="K466" s="1">
        <v>45793</v>
      </c>
      <c r="L466" t="s">
        <v>18</v>
      </c>
      <c r="M466" t="s">
        <v>64</v>
      </c>
      <c r="N466">
        <v>3590.87</v>
      </c>
      <c r="O466" t="s">
        <v>76</v>
      </c>
      <c r="P466">
        <v>2025</v>
      </c>
      <c r="Q466">
        <f>IF(Nike_Sales_Cleaned[[#This Row],[Revenue]] = 0, 0, Nike_Sales_Cleaned[[#This Row],[Profit]]/Nike_Sales_Cleaned[[#This Row],[Revenue]])</f>
        <v>0.35087546157281152</v>
      </c>
    </row>
    <row r="467" spans="1:17" x14ac:dyDescent="0.3">
      <c r="A467">
        <v>4434</v>
      </c>
      <c r="B467" t="s">
        <v>27</v>
      </c>
      <c r="C467" t="s">
        <v>31</v>
      </c>
      <c r="D467" t="s">
        <v>39</v>
      </c>
      <c r="E467" t="s">
        <v>22</v>
      </c>
      <c r="F467">
        <v>3</v>
      </c>
      <c r="G467">
        <v>7845.46</v>
      </c>
      <c r="H467">
        <v>0</v>
      </c>
      <c r="I467">
        <v>7844.46</v>
      </c>
      <c r="J467">
        <v>23533.38</v>
      </c>
      <c r="K467" s="1">
        <v>45697</v>
      </c>
      <c r="L467" t="s">
        <v>14</v>
      </c>
      <c r="M467" t="s">
        <v>61</v>
      </c>
      <c r="N467">
        <v>-289.83</v>
      </c>
      <c r="O467" t="s">
        <v>74</v>
      </c>
      <c r="P467">
        <v>2025</v>
      </c>
      <c r="Q467">
        <f>IF(Nike_Sales_Cleaned[[#This Row],[Revenue]] = 0, 0, Nike_Sales_Cleaned[[#This Row],[Profit]]/Nike_Sales_Cleaned[[#This Row],[Revenue]])</f>
        <v>-1.231569795753946E-2</v>
      </c>
    </row>
    <row r="468" spans="1:17" x14ac:dyDescent="0.3">
      <c r="A468">
        <v>4436</v>
      </c>
      <c r="B468" t="s">
        <v>27</v>
      </c>
      <c r="C468" t="s">
        <v>11</v>
      </c>
      <c r="D468" t="s">
        <v>12</v>
      </c>
      <c r="E468" t="s">
        <v>13</v>
      </c>
      <c r="F468">
        <v>4</v>
      </c>
      <c r="G468">
        <v>5873.83</v>
      </c>
      <c r="H468">
        <v>0</v>
      </c>
      <c r="I468">
        <v>5872.83</v>
      </c>
      <c r="J468">
        <v>23491.32</v>
      </c>
      <c r="K468" s="1">
        <v>45755</v>
      </c>
      <c r="L468" t="s">
        <v>14</v>
      </c>
      <c r="M468" t="s">
        <v>62</v>
      </c>
      <c r="N468">
        <v>-818.53</v>
      </c>
      <c r="O468" t="s">
        <v>74</v>
      </c>
      <c r="P468">
        <v>2025</v>
      </c>
      <c r="Q468">
        <f>IF(Nike_Sales_Cleaned[[#This Row],[Revenue]] = 0, 0, Nike_Sales_Cleaned[[#This Row],[Profit]]/Nike_Sales_Cleaned[[#This Row],[Revenue]])</f>
        <v>-3.4843933844500859E-2</v>
      </c>
    </row>
    <row r="469" spans="1:17" x14ac:dyDescent="0.3">
      <c r="A469">
        <v>4437</v>
      </c>
      <c r="B469" t="s">
        <v>27</v>
      </c>
      <c r="C469" t="s">
        <v>31</v>
      </c>
      <c r="D469" t="s">
        <v>38</v>
      </c>
      <c r="E469" t="s">
        <v>25</v>
      </c>
      <c r="F469">
        <v>2</v>
      </c>
      <c r="G469">
        <v>5117.8649999999998</v>
      </c>
      <c r="H469">
        <v>0</v>
      </c>
      <c r="I469">
        <v>5116.8649999999998</v>
      </c>
      <c r="J469">
        <v>10233.73</v>
      </c>
      <c r="K469" s="1">
        <v>45255</v>
      </c>
      <c r="L469" t="s">
        <v>18</v>
      </c>
      <c r="M469" t="s">
        <v>61</v>
      </c>
      <c r="N469">
        <v>3972.33</v>
      </c>
      <c r="O469" t="s">
        <v>74</v>
      </c>
      <c r="P469">
        <v>2023</v>
      </c>
      <c r="Q469">
        <f>IF(Nike_Sales_Cleaned[[#This Row],[Revenue]] = 0, 0, Nike_Sales_Cleaned[[#This Row],[Profit]]/Nike_Sales_Cleaned[[#This Row],[Revenue]])</f>
        <v>0.38816052407089108</v>
      </c>
    </row>
    <row r="470" spans="1:17" x14ac:dyDescent="0.3">
      <c r="A470">
        <v>4441</v>
      </c>
      <c r="B470" t="s">
        <v>10</v>
      </c>
      <c r="C470" t="s">
        <v>16</v>
      </c>
      <c r="D470" t="s">
        <v>19</v>
      </c>
      <c r="E470" t="s">
        <v>22</v>
      </c>
      <c r="F470">
        <v>3</v>
      </c>
      <c r="G470">
        <v>5178.83</v>
      </c>
      <c r="H470">
        <v>0</v>
      </c>
      <c r="I470">
        <v>5177.83</v>
      </c>
      <c r="J470">
        <v>15533.49</v>
      </c>
      <c r="K470" s="1">
        <v>45417</v>
      </c>
      <c r="L470" t="s">
        <v>18</v>
      </c>
      <c r="M470" t="s">
        <v>66</v>
      </c>
      <c r="N470">
        <v>2036.39</v>
      </c>
      <c r="O470" t="s">
        <v>74</v>
      </c>
      <c r="P470">
        <v>2024</v>
      </c>
      <c r="Q470">
        <f>IF(Nike_Sales_Cleaned[[#This Row],[Revenue]] = 0, 0, Nike_Sales_Cleaned[[#This Row],[Profit]]/Nike_Sales_Cleaned[[#This Row],[Revenue]])</f>
        <v>0.13109674644912381</v>
      </c>
    </row>
    <row r="471" spans="1:17" x14ac:dyDescent="0.3">
      <c r="A471">
        <v>4444</v>
      </c>
      <c r="B471" t="s">
        <v>27</v>
      </c>
      <c r="C471" t="s">
        <v>23</v>
      </c>
      <c r="D471" t="s">
        <v>24</v>
      </c>
      <c r="E471" t="s">
        <v>44</v>
      </c>
      <c r="F471">
        <v>4</v>
      </c>
      <c r="G471">
        <v>7557.71</v>
      </c>
      <c r="H471">
        <v>0.36</v>
      </c>
      <c r="I471">
        <v>7557.07</v>
      </c>
      <c r="J471">
        <v>30228.28</v>
      </c>
      <c r="K471" s="1">
        <v>45569</v>
      </c>
      <c r="L471" t="s">
        <v>14</v>
      </c>
      <c r="M471" t="s">
        <v>66</v>
      </c>
      <c r="N471">
        <v>243.39</v>
      </c>
      <c r="O471" t="s">
        <v>77</v>
      </c>
      <c r="P471">
        <v>2024</v>
      </c>
      <c r="Q471">
        <f>IF(Nike_Sales_Cleaned[[#This Row],[Revenue]] = 0, 0, Nike_Sales_Cleaned[[#This Row],[Profit]]/Nike_Sales_Cleaned[[#This Row],[Revenue]])</f>
        <v>8.0517316896627916E-3</v>
      </c>
    </row>
    <row r="472" spans="1:17" x14ac:dyDescent="0.3">
      <c r="A472">
        <v>4445</v>
      </c>
      <c r="B472" t="s">
        <v>15</v>
      </c>
      <c r="C472" t="s">
        <v>11</v>
      </c>
      <c r="D472" t="s">
        <v>34</v>
      </c>
      <c r="E472" t="s">
        <v>25</v>
      </c>
      <c r="F472">
        <v>1</v>
      </c>
      <c r="G472">
        <v>6186.9950000000008</v>
      </c>
      <c r="H472">
        <v>0.12</v>
      </c>
      <c r="I472">
        <v>6186.1150000000007</v>
      </c>
      <c r="J472">
        <v>6186.1150000000007</v>
      </c>
      <c r="K472" s="1">
        <v>45641</v>
      </c>
      <c r="L472" t="s">
        <v>18</v>
      </c>
      <c r="M472" t="s">
        <v>63</v>
      </c>
      <c r="N472">
        <v>3456.95</v>
      </c>
      <c r="O472" t="s">
        <v>76</v>
      </c>
      <c r="P472">
        <v>2024</v>
      </c>
      <c r="Q472">
        <f>IF(Nike_Sales_Cleaned[[#This Row],[Revenue]] = 0, 0, Nike_Sales_Cleaned[[#This Row],[Profit]]/Nike_Sales_Cleaned[[#This Row],[Revenue]])</f>
        <v>0.55882407617705121</v>
      </c>
    </row>
    <row r="473" spans="1:17" x14ac:dyDescent="0.3">
      <c r="A473">
        <v>4446</v>
      </c>
      <c r="B473" t="s">
        <v>27</v>
      </c>
      <c r="C473" t="s">
        <v>16</v>
      </c>
      <c r="D473" t="s">
        <v>29</v>
      </c>
      <c r="E473" t="s">
        <v>13</v>
      </c>
      <c r="F473">
        <v>2</v>
      </c>
      <c r="G473">
        <v>6880.21</v>
      </c>
      <c r="H473">
        <v>0.28000000000000003</v>
      </c>
      <c r="I473">
        <v>6879.49</v>
      </c>
      <c r="J473">
        <v>13758.98</v>
      </c>
      <c r="K473" s="1">
        <v>45683</v>
      </c>
      <c r="L473" t="s">
        <v>18</v>
      </c>
      <c r="M473" t="s">
        <v>62</v>
      </c>
      <c r="N473">
        <v>2671.58</v>
      </c>
      <c r="O473" t="s">
        <v>78</v>
      </c>
      <c r="P473">
        <v>2025</v>
      </c>
      <c r="Q473">
        <f>IF(Nike_Sales_Cleaned[[#This Row],[Revenue]] = 0, 0, Nike_Sales_Cleaned[[#This Row],[Profit]]/Nike_Sales_Cleaned[[#This Row],[Revenue]])</f>
        <v>0.1941699166653342</v>
      </c>
    </row>
    <row r="474" spans="1:17" x14ac:dyDescent="0.3">
      <c r="A474">
        <v>2030</v>
      </c>
      <c r="B474" t="s">
        <v>15</v>
      </c>
      <c r="C474" t="s">
        <v>31</v>
      </c>
      <c r="D474" t="s">
        <v>32</v>
      </c>
      <c r="E474" t="s">
        <v>28</v>
      </c>
      <c r="F474">
        <v>2</v>
      </c>
      <c r="G474">
        <v>5981.92</v>
      </c>
      <c r="H474">
        <v>0</v>
      </c>
      <c r="I474">
        <v>5980.92</v>
      </c>
      <c r="J474">
        <v>11961.84</v>
      </c>
      <c r="K474" s="1">
        <v>45818</v>
      </c>
      <c r="L474" t="s">
        <v>18</v>
      </c>
      <c r="M474" t="s">
        <v>63</v>
      </c>
      <c r="N474">
        <v>2717.93</v>
      </c>
      <c r="O474" t="s">
        <v>74</v>
      </c>
      <c r="P474">
        <v>2025</v>
      </c>
      <c r="Q474">
        <f>IF(Nike_Sales_Cleaned[[#This Row],[Revenue]] = 0, 0, Nike_Sales_Cleaned[[#This Row],[Profit]]/Nike_Sales_Cleaned[[#This Row],[Revenue]])</f>
        <v>0.22721671582298375</v>
      </c>
    </row>
    <row r="475" spans="1:17" x14ac:dyDescent="0.3">
      <c r="A475">
        <v>4452</v>
      </c>
      <c r="B475" t="s">
        <v>15</v>
      </c>
      <c r="C475" t="s">
        <v>20</v>
      </c>
      <c r="D475" t="s">
        <v>21</v>
      </c>
      <c r="E475" t="s">
        <v>13</v>
      </c>
      <c r="F475">
        <v>1</v>
      </c>
      <c r="G475">
        <v>4904.79</v>
      </c>
      <c r="H475">
        <v>0</v>
      </c>
      <c r="I475">
        <v>4903.79</v>
      </c>
      <c r="J475">
        <v>4903.79</v>
      </c>
      <c r="K475" s="1">
        <v>45774</v>
      </c>
      <c r="L475" t="s">
        <v>14</v>
      </c>
      <c r="M475" t="s">
        <v>64</v>
      </c>
      <c r="N475">
        <v>-86.63</v>
      </c>
      <c r="O475" t="s">
        <v>74</v>
      </c>
      <c r="P475">
        <v>2025</v>
      </c>
      <c r="Q475">
        <f>IF(Nike_Sales_Cleaned[[#This Row],[Revenue]] = 0, 0, Nike_Sales_Cleaned[[#This Row],[Profit]]/Nike_Sales_Cleaned[[#This Row],[Revenue]])</f>
        <v>-1.7665927782388725E-2</v>
      </c>
    </row>
    <row r="476" spans="1:17" x14ac:dyDescent="0.3">
      <c r="A476">
        <v>4453</v>
      </c>
      <c r="B476" t="s">
        <v>27</v>
      </c>
      <c r="C476" t="s">
        <v>11</v>
      </c>
      <c r="D476" t="s">
        <v>26</v>
      </c>
      <c r="E476" t="s">
        <v>25</v>
      </c>
      <c r="F476">
        <v>1</v>
      </c>
      <c r="G476">
        <v>5649.73</v>
      </c>
      <c r="H476">
        <v>0</v>
      </c>
      <c r="I476">
        <v>5648.73</v>
      </c>
      <c r="J476">
        <v>5648.73</v>
      </c>
      <c r="K476" s="1">
        <v>45803</v>
      </c>
      <c r="L476" t="s">
        <v>18</v>
      </c>
      <c r="M476" t="s">
        <v>64</v>
      </c>
      <c r="N476">
        <v>2814.75</v>
      </c>
      <c r="O476" t="s">
        <v>74</v>
      </c>
      <c r="P476">
        <v>2025</v>
      </c>
      <c r="Q476">
        <f>IF(Nike_Sales_Cleaned[[#This Row],[Revenue]] = 0, 0, Nike_Sales_Cleaned[[#This Row],[Profit]]/Nike_Sales_Cleaned[[#This Row],[Revenue]])</f>
        <v>0.49829784748076122</v>
      </c>
    </row>
    <row r="477" spans="1:17" x14ac:dyDescent="0.3">
      <c r="A477">
        <v>4456</v>
      </c>
      <c r="B477" t="s">
        <v>15</v>
      </c>
      <c r="C477" t="s">
        <v>31</v>
      </c>
      <c r="D477" t="s">
        <v>38</v>
      </c>
      <c r="E477" t="s">
        <v>25</v>
      </c>
      <c r="F477">
        <v>1</v>
      </c>
      <c r="G477">
        <v>5117.8649999999998</v>
      </c>
      <c r="H477">
        <v>0.32</v>
      </c>
      <c r="I477">
        <v>5117.1849999999995</v>
      </c>
      <c r="J477">
        <v>5117.1849999999995</v>
      </c>
      <c r="K477" s="1">
        <v>45276</v>
      </c>
      <c r="L477" t="s">
        <v>18</v>
      </c>
      <c r="M477" t="s">
        <v>61</v>
      </c>
      <c r="N477">
        <v>450.51</v>
      </c>
      <c r="O477" t="s">
        <v>77</v>
      </c>
      <c r="P477">
        <v>2023</v>
      </c>
      <c r="Q477">
        <f>IF(Nike_Sales_Cleaned[[#This Row],[Revenue]] = 0, 0, Nike_Sales_Cleaned[[#This Row],[Profit]]/Nike_Sales_Cleaned[[#This Row],[Revenue]])</f>
        <v>8.8038638431090541E-2</v>
      </c>
    </row>
    <row r="478" spans="1:17" x14ac:dyDescent="0.3">
      <c r="A478">
        <v>4463</v>
      </c>
      <c r="B478" t="s">
        <v>27</v>
      </c>
      <c r="C478" t="s">
        <v>16</v>
      </c>
      <c r="D478" t="s">
        <v>19</v>
      </c>
      <c r="E478" t="s">
        <v>28</v>
      </c>
      <c r="F478">
        <v>3</v>
      </c>
      <c r="G478">
        <v>5178.83</v>
      </c>
      <c r="H478">
        <v>0.6</v>
      </c>
      <c r="I478">
        <v>5178.43</v>
      </c>
      <c r="J478">
        <v>15535.29</v>
      </c>
      <c r="K478" s="1">
        <v>45815</v>
      </c>
      <c r="L478" t="s">
        <v>18</v>
      </c>
      <c r="M478" t="s">
        <v>62</v>
      </c>
      <c r="N478">
        <v>1821.65</v>
      </c>
      <c r="O478" t="s">
        <v>75</v>
      </c>
      <c r="P478">
        <v>2025</v>
      </c>
      <c r="Q478">
        <f>IF(Nike_Sales_Cleaned[[#This Row],[Revenue]] = 0, 0, Nike_Sales_Cleaned[[#This Row],[Profit]]/Nike_Sales_Cleaned[[#This Row],[Revenue]])</f>
        <v>0.11725883456311405</v>
      </c>
    </row>
    <row r="479" spans="1:17" x14ac:dyDescent="0.3">
      <c r="A479">
        <v>4482</v>
      </c>
      <c r="B479" t="s">
        <v>10</v>
      </c>
      <c r="C479" t="s">
        <v>16</v>
      </c>
      <c r="D479" t="s">
        <v>42</v>
      </c>
      <c r="E479" t="s">
        <v>22</v>
      </c>
      <c r="F479">
        <v>2</v>
      </c>
      <c r="G479">
        <v>5940.3850000000002</v>
      </c>
      <c r="H479">
        <v>0</v>
      </c>
      <c r="I479">
        <v>5939.3850000000002</v>
      </c>
      <c r="J479">
        <v>11878.77</v>
      </c>
      <c r="K479" s="1">
        <v>45489</v>
      </c>
      <c r="L479" t="s">
        <v>14</v>
      </c>
      <c r="M479" t="s">
        <v>63</v>
      </c>
      <c r="N479">
        <v>-742.03</v>
      </c>
      <c r="O479" t="s">
        <v>74</v>
      </c>
      <c r="P479">
        <v>2024</v>
      </c>
      <c r="Q479">
        <f>IF(Nike_Sales_Cleaned[[#This Row],[Revenue]] = 0, 0, Nike_Sales_Cleaned[[#This Row],[Profit]]/Nike_Sales_Cleaned[[#This Row],[Revenue]])</f>
        <v>-6.2466905243556359E-2</v>
      </c>
    </row>
    <row r="480" spans="1:17" x14ac:dyDescent="0.3">
      <c r="A480">
        <v>4484</v>
      </c>
      <c r="B480" t="s">
        <v>27</v>
      </c>
      <c r="C480" t="s">
        <v>31</v>
      </c>
      <c r="D480" t="s">
        <v>32</v>
      </c>
      <c r="E480" t="s">
        <v>28</v>
      </c>
      <c r="F480">
        <v>3</v>
      </c>
      <c r="G480">
        <v>5981.92</v>
      </c>
      <c r="H480">
        <v>0.8</v>
      </c>
      <c r="I480">
        <v>5981.72</v>
      </c>
      <c r="J480">
        <v>17945.16</v>
      </c>
      <c r="K480" s="1">
        <v>45638</v>
      </c>
      <c r="L480" t="s">
        <v>18</v>
      </c>
      <c r="M480" t="s">
        <v>61</v>
      </c>
      <c r="N480">
        <v>-751.05</v>
      </c>
      <c r="O480" t="s">
        <v>75</v>
      </c>
      <c r="P480">
        <v>2024</v>
      </c>
      <c r="Q480">
        <f>IF(Nike_Sales_Cleaned[[#This Row],[Revenue]] = 0, 0, Nike_Sales_Cleaned[[#This Row],[Profit]]/Nike_Sales_Cleaned[[#This Row],[Revenue]])</f>
        <v>-4.1852510649110955E-2</v>
      </c>
    </row>
    <row r="481" spans="1:17" x14ac:dyDescent="0.3">
      <c r="A481">
        <v>4488</v>
      </c>
      <c r="B481" t="s">
        <v>15</v>
      </c>
      <c r="C481" t="s">
        <v>11</v>
      </c>
      <c r="D481" t="s">
        <v>26</v>
      </c>
      <c r="E481" t="s">
        <v>49</v>
      </c>
      <c r="F481">
        <v>2</v>
      </c>
      <c r="G481">
        <v>5649.73</v>
      </c>
      <c r="H481">
        <v>0</v>
      </c>
      <c r="I481">
        <v>5648.73</v>
      </c>
      <c r="J481">
        <v>11297.46</v>
      </c>
      <c r="K481" s="1">
        <v>45642</v>
      </c>
      <c r="L481" t="s">
        <v>18</v>
      </c>
      <c r="M481" t="s">
        <v>62</v>
      </c>
      <c r="N481">
        <v>3045.38</v>
      </c>
      <c r="O481" t="s">
        <v>74</v>
      </c>
      <c r="P481">
        <v>2024</v>
      </c>
      <c r="Q481">
        <f>IF(Nike_Sales_Cleaned[[#This Row],[Revenue]] = 0, 0, Nike_Sales_Cleaned[[#This Row],[Profit]]/Nike_Sales_Cleaned[[#This Row],[Revenue]])</f>
        <v>0.26956324695993616</v>
      </c>
    </row>
    <row r="482" spans="1:17" x14ac:dyDescent="0.3">
      <c r="A482">
        <v>4493</v>
      </c>
      <c r="B482" t="s">
        <v>15</v>
      </c>
      <c r="C482" t="s">
        <v>20</v>
      </c>
      <c r="D482" t="s">
        <v>21</v>
      </c>
      <c r="E482" t="s">
        <v>25</v>
      </c>
      <c r="F482">
        <v>4</v>
      </c>
      <c r="G482">
        <v>4904.79</v>
      </c>
      <c r="H482">
        <v>0</v>
      </c>
      <c r="I482">
        <v>4903.79</v>
      </c>
      <c r="J482">
        <v>19615.16</v>
      </c>
      <c r="K482" s="1">
        <v>45569</v>
      </c>
      <c r="L482" t="s">
        <v>14</v>
      </c>
      <c r="M482" t="s">
        <v>63</v>
      </c>
      <c r="N482">
        <v>321.24</v>
      </c>
      <c r="O482" t="s">
        <v>74</v>
      </c>
      <c r="P482">
        <v>2024</v>
      </c>
      <c r="Q482">
        <f>IF(Nike_Sales_Cleaned[[#This Row],[Revenue]] = 0, 0, Nike_Sales_Cleaned[[#This Row],[Profit]]/Nike_Sales_Cleaned[[#This Row],[Revenue]])</f>
        <v>1.6377128710650335E-2</v>
      </c>
    </row>
    <row r="483" spans="1:17" x14ac:dyDescent="0.3">
      <c r="A483">
        <v>4495</v>
      </c>
      <c r="B483" t="s">
        <v>10</v>
      </c>
      <c r="C483" t="s">
        <v>31</v>
      </c>
      <c r="D483" t="s">
        <v>38</v>
      </c>
      <c r="E483" t="s">
        <v>25</v>
      </c>
      <c r="F483">
        <v>3</v>
      </c>
      <c r="G483">
        <v>5117.8649999999998</v>
      </c>
      <c r="H483">
        <v>0</v>
      </c>
      <c r="I483">
        <v>5116.8649999999998</v>
      </c>
      <c r="J483">
        <v>15350.594999999999</v>
      </c>
      <c r="K483" s="1">
        <v>45791</v>
      </c>
      <c r="L483" t="s">
        <v>14</v>
      </c>
      <c r="M483" t="s">
        <v>62</v>
      </c>
      <c r="N483">
        <v>2.97</v>
      </c>
      <c r="O483" t="s">
        <v>74</v>
      </c>
      <c r="P483">
        <v>2025</v>
      </c>
      <c r="Q483">
        <f>IF(Nike_Sales_Cleaned[[#This Row],[Revenue]] = 0, 0, Nike_Sales_Cleaned[[#This Row],[Profit]]/Nike_Sales_Cleaned[[#This Row],[Revenue]])</f>
        <v>1.934778423898227E-4</v>
      </c>
    </row>
    <row r="484" spans="1:17" x14ac:dyDescent="0.3">
      <c r="L484" s="1"/>
    </row>
    <row r="485" spans="1:17" x14ac:dyDescent="0.3">
      <c r="L485" s="1"/>
    </row>
    <row r="486" spans="1:17" x14ac:dyDescent="0.3">
      <c r="L486" s="1"/>
    </row>
    <row r="487" spans="1:17" x14ac:dyDescent="0.3">
      <c r="L487" s="1"/>
    </row>
    <row r="488" spans="1:17" x14ac:dyDescent="0.3">
      <c r="L488" s="1"/>
    </row>
    <row r="489" spans="1:17" x14ac:dyDescent="0.3">
      <c r="L489" s="1"/>
    </row>
    <row r="490" spans="1:17" x14ac:dyDescent="0.3">
      <c r="L490" s="1"/>
    </row>
    <row r="491" spans="1:17" x14ac:dyDescent="0.3">
      <c r="L491" s="1"/>
    </row>
    <row r="492" spans="1:17" x14ac:dyDescent="0.3">
      <c r="L492" s="1"/>
    </row>
    <row r="493" spans="1:17" x14ac:dyDescent="0.3">
      <c r="L493" s="1"/>
    </row>
    <row r="494" spans="1:17" x14ac:dyDescent="0.3">
      <c r="L494" s="1"/>
    </row>
    <row r="495" spans="1:17" x14ac:dyDescent="0.3">
      <c r="L495" s="1"/>
    </row>
    <row r="496" spans="1:17" x14ac:dyDescent="0.3">
      <c r="L496" s="1"/>
    </row>
    <row r="497" spans="12:12" x14ac:dyDescent="0.3">
      <c r="L497" s="1"/>
    </row>
    <row r="498" spans="12:12" x14ac:dyDescent="0.3">
      <c r="L498" s="1"/>
    </row>
    <row r="499" spans="12:12" x14ac:dyDescent="0.3">
      <c r="L499" s="1"/>
    </row>
    <row r="500" spans="12:12" x14ac:dyDescent="0.3">
      <c r="L500" s="1"/>
    </row>
    <row r="501" spans="12:12" x14ac:dyDescent="0.3">
      <c r="L501" s="1"/>
    </row>
    <row r="502" spans="12:12" x14ac:dyDescent="0.3">
      <c r="L502" s="1"/>
    </row>
    <row r="503" spans="12:12" x14ac:dyDescent="0.3">
      <c r="L503" s="1"/>
    </row>
    <row r="504" spans="12:12" x14ac:dyDescent="0.3">
      <c r="L504" s="1"/>
    </row>
    <row r="505" spans="12:12" x14ac:dyDescent="0.3">
      <c r="L505" s="1"/>
    </row>
    <row r="506" spans="12:12" x14ac:dyDescent="0.3">
      <c r="L506" s="1"/>
    </row>
    <row r="507" spans="12:12" x14ac:dyDescent="0.3">
      <c r="L507" s="1"/>
    </row>
    <row r="508" spans="12:12" x14ac:dyDescent="0.3">
      <c r="L508" s="1"/>
    </row>
    <row r="509" spans="12:12" x14ac:dyDescent="0.3">
      <c r="L509" s="1"/>
    </row>
    <row r="510" spans="12:12" x14ac:dyDescent="0.3">
      <c r="L510" s="1"/>
    </row>
    <row r="511" spans="12:12" x14ac:dyDescent="0.3">
      <c r="L511" s="1"/>
    </row>
    <row r="512" spans="12:12" x14ac:dyDescent="0.3">
      <c r="L512" s="1"/>
    </row>
    <row r="513" spans="12:12" x14ac:dyDescent="0.3">
      <c r="L513" s="1"/>
    </row>
    <row r="514" spans="12:12" x14ac:dyDescent="0.3">
      <c r="L514" s="1"/>
    </row>
    <row r="515" spans="12:12" x14ac:dyDescent="0.3">
      <c r="L515" s="1"/>
    </row>
    <row r="516" spans="12:12" x14ac:dyDescent="0.3">
      <c r="L516" s="1"/>
    </row>
    <row r="517" spans="12:12" x14ac:dyDescent="0.3">
      <c r="L517" s="1"/>
    </row>
    <row r="518" spans="12:12" x14ac:dyDescent="0.3">
      <c r="L518" s="1"/>
    </row>
    <row r="519" spans="12:12" x14ac:dyDescent="0.3">
      <c r="L519" s="1"/>
    </row>
    <row r="520" spans="12:12" x14ac:dyDescent="0.3">
      <c r="L520" s="1"/>
    </row>
    <row r="521" spans="12:12" x14ac:dyDescent="0.3">
      <c r="L521" s="1"/>
    </row>
    <row r="522" spans="12:12" x14ac:dyDescent="0.3">
      <c r="L522" s="1"/>
    </row>
    <row r="523" spans="12:12" x14ac:dyDescent="0.3">
      <c r="L523" s="1"/>
    </row>
    <row r="524" spans="12:12" x14ac:dyDescent="0.3">
      <c r="L524" s="1"/>
    </row>
    <row r="525" spans="12:12" x14ac:dyDescent="0.3">
      <c r="L525" s="1"/>
    </row>
    <row r="526" spans="12:12" x14ac:dyDescent="0.3">
      <c r="L526" s="1"/>
    </row>
    <row r="527" spans="12:12" x14ac:dyDescent="0.3">
      <c r="L527" s="1"/>
    </row>
    <row r="528" spans="12:12" x14ac:dyDescent="0.3">
      <c r="L528" s="1"/>
    </row>
    <row r="529" spans="12:12" x14ac:dyDescent="0.3">
      <c r="L529" s="1"/>
    </row>
    <row r="530" spans="12:12" x14ac:dyDescent="0.3">
      <c r="L530"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66B5-8E07-4ABE-A304-BE6AC818D99E}">
  <dimension ref="B1:AC75"/>
  <sheetViews>
    <sheetView workbookViewId="0">
      <selection activeCell="Z41" sqref="Z41"/>
    </sheetView>
  </sheetViews>
  <sheetFormatPr defaultRowHeight="14.4" x14ac:dyDescent="0.3"/>
  <cols>
    <col min="2" max="2" width="10.5546875" bestFit="1" customWidth="1"/>
    <col min="3" max="3" width="11.109375" bestFit="1" customWidth="1"/>
    <col min="4" max="4" width="10.109375" bestFit="1" customWidth="1"/>
    <col min="5" max="5" width="21.33203125" bestFit="1" customWidth="1"/>
    <col min="6" max="6" width="16" bestFit="1" customWidth="1"/>
    <col min="8" max="8" width="12.6640625" bestFit="1" customWidth="1"/>
    <col min="9" max="9" width="11.77734375" bestFit="1" customWidth="1"/>
    <col min="10" max="10" width="17.6640625" bestFit="1" customWidth="1"/>
    <col min="11" max="11" width="14" bestFit="1" customWidth="1"/>
    <col min="12" max="12" width="9" bestFit="1" customWidth="1"/>
    <col min="13" max="13" width="11.77734375" bestFit="1" customWidth="1"/>
    <col min="14" max="14" width="8.33203125" bestFit="1" customWidth="1"/>
    <col min="15" max="15" width="8.109375" bestFit="1" customWidth="1"/>
    <col min="16" max="16" width="10.5546875" bestFit="1" customWidth="1"/>
    <col min="17" max="17" width="11.109375" bestFit="1" customWidth="1"/>
    <col min="18" max="19" width="11.77734375" bestFit="1" customWidth="1"/>
    <col min="20" max="20" width="10.5546875" bestFit="1" customWidth="1"/>
    <col min="21" max="21" width="5.88671875" bestFit="1" customWidth="1"/>
    <col min="22" max="22" width="11.77734375" bestFit="1" customWidth="1"/>
    <col min="23" max="23" width="10.5546875" bestFit="1" customWidth="1"/>
    <col min="24" max="24" width="5.88671875" bestFit="1" customWidth="1"/>
    <col min="25" max="25" width="8.109375" bestFit="1" customWidth="1"/>
    <col min="28" max="28" width="10.5546875" bestFit="1" customWidth="1"/>
    <col min="29" max="29" width="11.77734375" bestFit="1" customWidth="1"/>
  </cols>
  <sheetData>
    <row r="1" spans="2:6" x14ac:dyDescent="0.3">
      <c r="B1" s="18" t="s">
        <v>72</v>
      </c>
      <c r="C1" s="19"/>
      <c r="D1" s="19"/>
      <c r="E1" s="19"/>
      <c r="F1" s="19"/>
    </row>
    <row r="2" spans="2:6" x14ac:dyDescent="0.3">
      <c r="B2" s="19"/>
      <c r="C2" s="19"/>
      <c r="D2" s="19"/>
      <c r="E2" s="19"/>
      <c r="F2" s="19"/>
    </row>
    <row r="3" spans="2:6" x14ac:dyDescent="0.3">
      <c r="B3" s="19"/>
      <c r="C3" s="19"/>
      <c r="D3" s="19"/>
      <c r="E3" s="19"/>
      <c r="F3" s="19"/>
    </row>
    <row r="6" spans="2:6" x14ac:dyDescent="0.3">
      <c r="B6" t="s">
        <v>51</v>
      </c>
      <c r="C6" t="s">
        <v>53</v>
      </c>
      <c r="D6" t="s">
        <v>52</v>
      </c>
      <c r="E6" t="s">
        <v>68</v>
      </c>
      <c r="F6" t="s">
        <v>70</v>
      </c>
    </row>
    <row r="7" spans="2:6" x14ac:dyDescent="0.3">
      <c r="B7" s="30">
        <v>2929775.9700000049</v>
      </c>
      <c r="C7" s="30">
        <v>7382043.9250000026</v>
      </c>
      <c r="D7" s="30">
        <v>665885.01999999932</v>
      </c>
      <c r="E7" s="7">
        <v>0.12218396168953802</v>
      </c>
      <c r="F7" s="30">
        <v>1213</v>
      </c>
    </row>
    <row r="10" spans="2:6" x14ac:dyDescent="0.3">
      <c r="B10" s="18" t="s">
        <v>71</v>
      </c>
      <c r="C10" s="19"/>
      <c r="D10" s="19"/>
      <c r="E10" s="19"/>
      <c r="F10" s="19"/>
    </row>
    <row r="11" spans="2:6" x14ac:dyDescent="0.3">
      <c r="B11" s="19"/>
      <c r="C11" s="19"/>
      <c r="D11" s="19"/>
      <c r="E11" s="19"/>
      <c r="F11" s="19"/>
    </row>
    <row r="12" spans="2:6" x14ac:dyDescent="0.3">
      <c r="B12" s="19"/>
      <c r="C12" s="19"/>
      <c r="D12" s="19"/>
      <c r="E12" s="19"/>
      <c r="F12" s="19"/>
    </row>
    <row r="15" spans="2:6" x14ac:dyDescent="0.3">
      <c r="B15" s="2" t="s">
        <v>79</v>
      </c>
      <c r="C15" s="5" t="s">
        <v>80</v>
      </c>
      <c r="D15" s="5" t="s">
        <v>81</v>
      </c>
    </row>
    <row r="16" spans="2:6" x14ac:dyDescent="0.3">
      <c r="B16" s="3" t="s">
        <v>63</v>
      </c>
      <c r="C16" s="5">
        <v>1496104.0800000005</v>
      </c>
      <c r="D16" s="5">
        <v>147349.83000000007</v>
      </c>
    </row>
    <row r="17" spans="2:6" x14ac:dyDescent="0.3">
      <c r="B17" s="3" t="s">
        <v>62</v>
      </c>
      <c r="C17" s="5">
        <v>1350020.42</v>
      </c>
      <c r="D17" s="5">
        <v>102767.3</v>
      </c>
    </row>
    <row r="18" spans="2:6" x14ac:dyDescent="0.3">
      <c r="B18" s="3" t="s">
        <v>66</v>
      </c>
      <c r="C18" s="5">
        <v>1170688.0749999995</v>
      </c>
      <c r="D18" s="5">
        <v>105297.25</v>
      </c>
    </row>
    <row r="19" spans="2:6" x14ac:dyDescent="0.3">
      <c r="B19" s="3" t="s">
        <v>64</v>
      </c>
      <c r="C19" s="5">
        <v>1160775.7</v>
      </c>
      <c r="D19" s="5">
        <v>105648.19</v>
      </c>
    </row>
    <row r="20" spans="2:6" x14ac:dyDescent="0.3">
      <c r="B20" s="3" t="s">
        <v>61</v>
      </c>
      <c r="C20" s="5">
        <v>1112206.1200000001</v>
      </c>
      <c r="D20" s="5">
        <v>107847.95999999999</v>
      </c>
    </row>
    <row r="21" spans="2:6" x14ac:dyDescent="0.3">
      <c r="B21" s="3" t="s">
        <v>65</v>
      </c>
      <c r="C21" s="5">
        <v>1092249.5299999998</v>
      </c>
      <c r="D21" s="5">
        <v>96974.489999999991</v>
      </c>
    </row>
    <row r="22" spans="2:6" x14ac:dyDescent="0.3">
      <c r="B22" s="3" t="s">
        <v>50</v>
      </c>
      <c r="C22" s="5">
        <v>7382043.9249999989</v>
      </c>
      <c r="D22" s="5">
        <v>665885.02000000014</v>
      </c>
    </row>
    <row r="28" spans="2:6" x14ac:dyDescent="0.3">
      <c r="E28" s="6"/>
      <c r="F28" s="6"/>
    </row>
    <row r="29" spans="2:6" x14ac:dyDescent="0.3">
      <c r="E29" s="6"/>
      <c r="F29" s="6"/>
    </row>
    <row r="30" spans="2:6" x14ac:dyDescent="0.3">
      <c r="E30" s="6"/>
      <c r="F30" s="6"/>
    </row>
    <row r="33" spans="2:29" x14ac:dyDescent="0.3">
      <c r="S33" s="8"/>
    </row>
    <row r="34" spans="2:29" x14ac:dyDescent="0.3">
      <c r="B34" s="2" t="s">
        <v>94</v>
      </c>
      <c r="C34" t="s">
        <v>80</v>
      </c>
      <c r="D34" t="s">
        <v>81</v>
      </c>
      <c r="P34" s="2" t="s">
        <v>96</v>
      </c>
      <c r="Q34" t="s">
        <v>80</v>
      </c>
      <c r="R34" t="s">
        <v>97</v>
      </c>
      <c r="T34" s="8"/>
    </row>
    <row r="35" spans="2:29" x14ac:dyDescent="0.3">
      <c r="B35" s="3" t="s">
        <v>82</v>
      </c>
      <c r="C35" s="5">
        <v>675913.71000000008</v>
      </c>
      <c r="D35" s="5">
        <v>48539.310000000005</v>
      </c>
      <c r="P35" s="3" t="s">
        <v>74</v>
      </c>
      <c r="Q35" s="16">
        <v>5365051.7799999947</v>
      </c>
      <c r="R35" s="7">
        <v>9.0302090243759056E-2</v>
      </c>
      <c r="T35" s="8"/>
    </row>
    <row r="36" spans="2:29" x14ac:dyDescent="0.3">
      <c r="B36" s="3" t="s">
        <v>83</v>
      </c>
      <c r="C36" s="5">
        <v>523293.67</v>
      </c>
      <c r="D36" s="5">
        <v>52580.6</v>
      </c>
      <c r="P36" s="3" t="s">
        <v>76</v>
      </c>
      <c r="Q36" s="16">
        <v>206515.80499999996</v>
      </c>
      <c r="R36" s="7">
        <v>0.14054846794897854</v>
      </c>
      <c r="T36" s="8"/>
    </row>
    <row r="37" spans="2:29" x14ac:dyDescent="0.3">
      <c r="B37" s="3" t="s">
        <v>84</v>
      </c>
      <c r="C37" s="5">
        <v>621844.62500000012</v>
      </c>
      <c r="D37" s="5">
        <v>57165.229999999974</v>
      </c>
      <c r="P37" s="3" t="s">
        <v>78</v>
      </c>
      <c r="Q37" s="16">
        <v>308889.26500000001</v>
      </c>
      <c r="R37" s="7">
        <v>0.10431621830561189</v>
      </c>
      <c r="T37" s="8"/>
    </row>
    <row r="38" spans="2:29" x14ac:dyDescent="0.3">
      <c r="B38" s="3" t="s">
        <v>85</v>
      </c>
      <c r="C38" s="5">
        <v>534609.54499999993</v>
      </c>
      <c r="D38" s="5">
        <v>47384.710000000021</v>
      </c>
      <c r="P38" s="3" t="s">
        <v>77</v>
      </c>
      <c r="Q38" s="16">
        <v>528419.09499999997</v>
      </c>
      <c r="R38" s="7">
        <v>0.11038456133005567</v>
      </c>
      <c r="T38" s="8"/>
    </row>
    <row r="39" spans="2:29" x14ac:dyDescent="0.3">
      <c r="B39" s="3" t="s">
        <v>86</v>
      </c>
      <c r="C39" s="5">
        <v>667950.21000000008</v>
      </c>
      <c r="D39" s="5">
        <v>53019.5</v>
      </c>
      <c r="P39" s="3" t="s">
        <v>75</v>
      </c>
      <c r="Q39" s="16">
        <v>973167.97999999986</v>
      </c>
      <c r="R39" s="7">
        <v>6.3537520007594175E-2</v>
      </c>
      <c r="T39" s="12"/>
      <c r="U39" s="5"/>
      <c r="V39" s="5"/>
    </row>
    <row r="40" spans="2:29" x14ac:dyDescent="0.3">
      <c r="B40" s="3" t="s">
        <v>87</v>
      </c>
      <c r="C40" s="5">
        <v>708241.88500000013</v>
      </c>
      <c r="D40" s="5">
        <v>65613.459999999992</v>
      </c>
      <c r="P40" s="3" t="s">
        <v>50</v>
      </c>
      <c r="Q40" s="16">
        <v>7382043.9249999933</v>
      </c>
      <c r="R40" s="7">
        <v>9.020334026256828E-2</v>
      </c>
      <c r="T40" s="12"/>
      <c r="U40" s="5"/>
      <c r="V40" s="5"/>
    </row>
    <row r="41" spans="2:29" x14ac:dyDescent="0.3">
      <c r="B41" s="3" t="s">
        <v>88</v>
      </c>
      <c r="C41" s="5">
        <v>616093.76500000001</v>
      </c>
      <c r="D41" s="5">
        <v>44002.219999999994</v>
      </c>
      <c r="Q41" s="13"/>
      <c r="R41" s="8"/>
      <c r="S41" s="8"/>
      <c r="T41" s="12"/>
      <c r="U41" s="5"/>
      <c r="V41" s="5"/>
    </row>
    <row r="42" spans="2:29" x14ac:dyDescent="0.3">
      <c r="B42" s="3" t="s">
        <v>89</v>
      </c>
      <c r="C42" s="5">
        <v>481893.42999999993</v>
      </c>
      <c r="D42" s="5">
        <v>45502.939999999995</v>
      </c>
      <c r="R42" s="8"/>
      <c r="S42" s="8"/>
      <c r="T42" s="3"/>
      <c r="U42" s="5"/>
      <c r="V42" s="5"/>
    </row>
    <row r="43" spans="2:29" x14ac:dyDescent="0.3">
      <c r="B43" s="3" t="s">
        <v>90</v>
      </c>
      <c r="C43" s="5">
        <v>604394.58499999996</v>
      </c>
      <c r="D43" s="5">
        <v>58926.119999999995</v>
      </c>
      <c r="S43" s="8"/>
      <c r="T43" s="3"/>
      <c r="U43" s="5"/>
      <c r="V43" s="5"/>
    </row>
    <row r="44" spans="2:29" x14ac:dyDescent="0.3">
      <c r="B44" s="3" t="s">
        <v>91</v>
      </c>
      <c r="C44" s="5">
        <v>670723.49</v>
      </c>
      <c r="D44" s="5">
        <v>61830.709999999992</v>
      </c>
      <c r="T44" s="10"/>
      <c r="U44" s="11"/>
      <c r="V44" s="11"/>
    </row>
    <row r="45" spans="2:29" x14ac:dyDescent="0.3">
      <c r="B45" s="3" t="s">
        <v>92</v>
      </c>
      <c r="C45" s="5">
        <v>735811.29999999993</v>
      </c>
      <c r="D45" s="5">
        <v>73500.67</v>
      </c>
    </row>
    <row r="46" spans="2:29" x14ac:dyDescent="0.3">
      <c r="B46" s="3" t="s">
        <v>93</v>
      </c>
      <c r="C46" s="5">
        <v>541273.71</v>
      </c>
      <c r="D46" s="5">
        <v>57819.55</v>
      </c>
      <c r="W46" s="2" t="s">
        <v>59</v>
      </c>
      <c r="X46" s="7" t="s">
        <v>81</v>
      </c>
    </row>
    <row r="47" spans="2:29" x14ac:dyDescent="0.3">
      <c r="B47" s="3" t="s">
        <v>50</v>
      </c>
      <c r="C47" s="5">
        <v>7382043.9249999998</v>
      </c>
      <c r="D47" s="5">
        <v>665885.02</v>
      </c>
      <c r="W47" s="3" t="s">
        <v>10</v>
      </c>
      <c r="X47" s="7">
        <v>0.3781196189095829</v>
      </c>
      <c r="AB47" s="2" t="s">
        <v>8</v>
      </c>
      <c r="AC47" t="s">
        <v>97</v>
      </c>
    </row>
    <row r="48" spans="2:29" x14ac:dyDescent="0.3">
      <c r="W48" s="3" t="s">
        <v>27</v>
      </c>
      <c r="X48" s="7">
        <v>0.31515712727701867</v>
      </c>
      <c r="AB48" s="3" t="s">
        <v>63</v>
      </c>
      <c r="AC48" s="7">
        <v>9.8489023571140866E-2</v>
      </c>
    </row>
    <row r="49" spans="8:29" x14ac:dyDescent="0.3">
      <c r="W49" s="3" t="s">
        <v>15</v>
      </c>
      <c r="X49" s="7">
        <v>0.30672325381339854</v>
      </c>
      <c r="AB49" s="3" t="s">
        <v>61</v>
      </c>
      <c r="AC49" s="7">
        <v>9.6967601652830304E-2</v>
      </c>
    </row>
    <row r="50" spans="8:29" x14ac:dyDescent="0.3">
      <c r="W50" s="3" t="s">
        <v>50</v>
      </c>
      <c r="X50" s="7">
        <v>1</v>
      </c>
      <c r="AB50" s="3" t="s">
        <v>64</v>
      </c>
      <c r="AC50" s="7">
        <v>9.1015163394616211E-2</v>
      </c>
    </row>
    <row r="51" spans="8:29" x14ac:dyDescent="0.3">
      <c r="I51" s="8"/>
      <c r="L51" s="13"/>
      <c r="AB51" s="3" t="s">
        <v>66</v>
      </c>
      <c r="AC51" s="7">
        <v>8.9944753217034393E-2</v>
      </c>
    </row>
    <row r="52" spans="8:29" x14ac:dyDescent="0.3">
      <c r="H52" s="2" t="s">
        <v>95</v>
      </c>
      <c r="I52" t="s">
        <v>97</v>
      </c>
      <c r="K52" s="2" t="s">
        <v>1</v>
      </c>
      <c r="L52" s="16" t="s">
        <v>80</v>
      </c>
      <c r="M52" t="s">
        <v>97</v>
      </c>
      <c r="AB52" s="3" t="s">
        <v>65</v>
      </c>
      <c r="AC52" s="7">
        <v>8.8784190184087342E-2</v>
      </c>
    </row>
    <row r="53" spans="8:29" x14ac:dyDescent="0.3">
      <c r="H53" s="3" t="s">
        <v>19</v>
      </c>
      <c r="I53" s="7">
        <v>0.14645417966681656</v>
      </c>
      <c r="K53" s="3" t="s">
        <v>16</v>
      </c>
      <c r="L53" s="9">
        <v>0.19836065795287183</v>
      </c>
      <c r="M53" s="7">
        <v>0.11173715617261672</v>
      </c>
      <c r="AB53" s="3" t="s">
        <v>62</v>
      </c>
      <c r="AC53" s="7">
        <v>7.6122774498477597E-2</v>
      </c>
    </row>
    <row r="54" spans="8:29" x14ac:dyDescent="0.3">
      <c r="H54" s="3" t="s">
        <v>21</v>
      </c>
      <c r="I54" s="7">
        <v>0.13163693709452262</v>
      </c>
      <c r="K54" s="3" t="s">
        <v>23</v>
      </c>
      <c r="L54" s="9">
        <v>0.16476402231648879</v>
      </c>
      <c r="M54" s="7">
        <v>0.10794174358569593</v>
      </c>
      <c r="AB54" s="3" t="s">
        <v>50</v>
      </c>
      <c r="AC54" s="7">
        <v>9.0203340262568169E-2</v>
      </c>
    </row>
    <row r="55" spans="8:29" x14ac:dyDescent="0.3">
      <c r="H55" s="3" t="s">
        <v>35</v>
      </c>
      <c r="I55" s="7">
        <v>0.12192410573506635</v>
      </c>
      <c r="K55" s="3" t="s">
        <v>11</v>
      </c>
      <c r="L55" s="9">
        <v>0.22669474565609535</v>
      </c>
      <c r="M55" s="7">
        <v>8.2145328674647758E-2</v>
      </c>
    </row>
    <row r="56" spans="8:29" x14ac:dyDescent="0.3">
      <c r="H56" s="3" t="s">
        <v>37</v>
      </c>
      <c r="I56" s="7">
        <v>0.12128825752148713</v>
      </c>
      <c r="K56" s="3" t="s">
        <v>20</v>
      </c>
      <c r="L56" s="9">
        <v>0.20841670892658637</v>
      </c>
      <c r="M56" s="7">
        <v>7.9617713219658118E-2</v>
      </c>
    </row>
    <row r="57" spans="8:29" x14ac:dyDescent="0.3">
      <c r="H57" s="3" t="s">
        <v>43</v>
      </c>
      <c r="I57" s="7">
        <v>0.10865471858979846</v>
      </c>
      <c r="K57" s="3" t="s">
        <v>31</v>
      </c>
      <c r="L57" s="9">
        <v>0.20176386514795752</v>
      </c>
      <c r="M57" s="7">
        <v>7.4535608415735186E-2</v>
      </c>
    </row>
    <row r="58" spans="8:29" x14ac:dyDescent="0.3">
      <c r="H58" s="3" t="s">
        <v>50</v>
      </c>
      <c r="I58" s="7">
        <v>0.12861759483238563</v>
      </c>
      <c r="K58" s="3" t="s">
        <v>50</v>
      </c>
      <c r="L58" s="9">
        <v>1</v>
      </c>
      <c r="M58" s="7">
        <v>9.0203340262568169E-2</v>
      </c>
    </row>
    <row r="59" spans="8:29" x14ac:dyDescent="0.3">
      <c r="L59" s="13"/>
    </row>
    <row r="60" spans="8:29" x14ac:dyDescent="0.3">
      <c r="L60" s="13"/>
    </row>
    <row r="74" spans="9:10" x14ac:dyDescent="0.3">
      <c r="I74" s="8"/>
      <c r="J74" s="13"/>
    </row>
    <row r="75" spans="9:10" x14ac:dyDescent="0.3">
      <c r="J75" s="13"/>
    </row>
  </sheetData>
  <mergeCells count="2">
    <mergeCell ref="B1:F3"/>
    <mergeCell ref="B10:F12"/>
  </mergeCells>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7229-55CE-4D2A-AF6E-2B86571BCD3A}">
  <dimension ref="B3:J19"/>
  <sheetViews>
    <sheetView workbookViewId="0">
      <selection activeCell="G5" sqref="G5"/>
    </sheetView>
  </sheetViews>
  <sheetFormatPr defaultRowHeight="14.4" x14ac:dyDescent="0.3"/>
  <cols>
    <col min="2" max="2" width="11.44140625" style="4" bestFit="1" customWidth="1"/>
    <col min="3" max="3" width="13.77734375" bestFit="1" customWidth="1"/>
    <col min="6" max="6" width="12.33203125" bestFit="1" customWidth="1"/>
  </cols>
  <sheetData>
    <row r="3" spans="2:10" x14ac:dyDescent="0.3">
      <c r="B3" s="4" t="s">
        <v>54</v>
      </c>
      <c r="C3" s="5">
        <f>GETPIVOTDATA("Sum of MRP",Analysis!$B$6)</f>
        <v>2929775.9700000049</v>
      </c>
      <c r="F3" s="4" t="s">
        <v>98</v>
      </c>
      <c r="G3" t="str">
        <f>Analysis!H53</f>
        <v>Premier III</v>
      </c>
    </row>
    <row r="4" spans="2:10" x14ac:dyDescent="0.3">
      <c r="B4" s="4" t="s">
        <v>55</v>
      </c>
      <c r="C4" s="5">
        <f>GETPIVOTDATA("Sum of Profit",Analysis!$B$6)</f>
        <v>665885.01999999932</v>
      </c>
      <c r="F4" s="4" t="s">
        <v>109</v>
      </c>
      <c r="G4" t="str">
        <f>Analysis!K53</f>
        <v>Soccer</v>
      </c>
    </row>
    <row r="5" spans="2:10" x14ac:dyDescent="0.3">
      <c r="B5" s="4" t="s">
        <v>56</v>
      </c>
      <c r="C5" s="5">
        <f>GETPIVOTDATA("Sum of Revenue",Analysis!$B$6)</f>
        <v>7382043.9250000026</v>
      </c>
    </row>
    <row r="8" spans="2:10" x14ac:dyDescent="0.3">
      <c r="B8" s="4" t="s">
        <v>57</v>
      </c>
      <c r="C8" s="8">
        <f>C4/C5</f>
        <v>9.0203340262568141E-2</v>
      </c>
      <c r="I8" s="4"/>
    </row>
    <row r="9" spans="2:10" x14ac:dyDescent="0.3">
      <c r="B9" s="4" t="s">
        <v>69</v>
      </c>
      <c r="C9">
        <f>GETPIVOTDATA("Sum of Units_Sold",Analysis!$B$6)</f>
        <v>1213</v>
      </c>
      <c r="I9" s="4"/>
    </row>
    <row r="10" spans="2:10" x14ac:dyDescent="0.3">
      <c r="I10" s="4"/>
    </row>
    <row r="11" spans="2:10" x14ac:dyDescent="0.3">
      <c r="I11" s="4"/>
    </row>
    <row r="12" spans="2:10" x14ac:dyDescent="0.3">
      <c r="I12" s="4"/>
    </row>
    <row r="13" spans="2:10" x14ac:dyDescent="0.3">
      <c r="I13" s="4"/>
      <c r="J13" s="8"/>
    </row>
    <row r="14" spans="2:10" x14ac:dyDescent="0.3">
      <c r="I14" s="4"/>
    </row>
    <row r="15" spans="2:10" x14ac:dyDescent="0.3">
      <c r="I15" s="4"/>
    </row>
    <row r="16" spans="2:10" x14ac:dyDescent="0.3">
      <c r="I16" s="4"/>
    </row>
    <row r="17" spans="9:10" x14ac:dyDescent="0.3">
      <c r="I17" s="4"/>
      <c r="J17" s="8"/>
    </row>
    <row r="18" spans="9:10" x14ac:dyDescent="0.3">
      <c r="I18" s="4"/>
    </row>
    <row r="19" spans="9:10" x14ac:dyDescent="0.3">
      <c r="I1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EC49-DB4B-4D7B-9131-87969A09F63A}">
  <sheetPr>
    <tabColor rgb="FFC00000"/>
  </sheetPr>
  <dimension ref="D9:BP65"/>
  <sheetViews>
    <sheetView showGridLines="0" showRowColHeaders="0" tabSelected="1" zoomScale="65" zoomScaleNormal="65" workbookViewId="0">
      <selection activeCell="AT44" sqref="AT44"/>
    </sheetView>
  </sheetViews>
  <sheetFormatPr defaultRowHeight="14.4" x14ac:dyDescent="0.3"/>
  <cols>
    <col min="29" max="29" width="25.109375" bestFit="1" customWidth="1"/>
    <col min="30" max="30" width="14" bestFit="1" customWidth="1"/>
    <col min="31" max="31" width="18.109375" bestFit="1" customWidth="1"/>
  </cols>
  <sheetData>
    <row r="9" spans="5:31" x14ac:dyDescent="0.3">
      <c r="E9" s="20"/>
      <c r="F9" s="20"/>
      <c r="G9" s="20"/>
      <c r="H9" s="20"/>
    </row>
    <row r="10" spans="5:31" x14ac:dyDescent="0.3">
      <c r="E10" s="20"/>
      <c r="F10" s="20"/>
      <c r="G10" s="20"/>
      <c r="H10" s="20"/>
    </row>
    <row r="11" spans="5:31" x14ac:dyDescent="0.3">
      <c r="E11" s="20"/>
      <c r="F11" s="20"/>
      <c r="G11" s="20"/>
      <c r="H11" s="20"/>
    </row>
    <row r="12" spans="5:31" x14ac:dyDescent="0.3">
      <c r="E12" s="20"/>
      <c r="F12" s="20"/>
      <c r="G12" s="20"/>
      <c r="H12" s="20"/>
    </row>
    <row r="13" spans="5:31" x14ac:dyDescent="0.3">
      <c r="AC13" s="24"/>
      <c r="AD13" s="24"/>
      <c r="AE13" s="24"/>
    </row>
    <row r="14" spans="5:31" ht="21" x14ac:dyDescent="0.3">
      <c r="AC14" s="25" t="s">
        <v>110</v>
      </c>
      <c r="AD14" s="26"/>
      <c r="AE14" s="26"/>
    </row>
    <row r="15" spans="5:31" ht="21" x14ac:dyDescent="0.3">
      <c r="AC15" s="28" t="s">
        <v>1</v>
      </c>
      <c r="AD15" s="29" t="s">
        <v>80</v>
      </c>
      <c r="AE15" s="28" t="s">
        <v>97</v>
      </c>
    </row>
    <row r="16" spans="5:31" ht="21" x14ac:dyDescent="0.4">
      <c r="AC16" s="14" t="s">
        <v>16</v>
      </c>
      <c r="AD16" s="17">
        <v>0.19836065795287183</v>
      </c>
      <c r="AE16" s="15">
        <v>0.11173715617261672</v>
      </c>
    </row>
    <row r="17" spans="29:31" ht="21" x14ac:dyDescent="0.4">
      <c r="AC17" s="14" t="s">
        <v>23</v>
      </c>
      <c r="AD17" s="17">
        <v>0.16476402231648879</v>
      </c>
      <c r="AE17" s="15">
        <v>0.10794174358569593</v>
      </c>
    </row>
    <row r="18" spans="29:31" ht="21" x14ac:dyDescent="0.4">
      <c r="AC18" s="14" t="s">
        <v>11</v>
      </c>
      <c r="AD18" s="17">
        <v>0.22669474565609535</v>
      </c>
      <c r="AE18" s="15">
        <v>8.2145328674647758E-2</v>
      </c>
    </row>
    <row r="19" spans="29:31" ht="21" x14ac:dyDescent="0.4">
      <c r="AC19" s="14" t="s">
        <v>20</v>
      </c>
      <c r="AD19" s="17">
        <v>0.20841670892658637</v>
      </c>
      <c r="AE19" s="15">
        <v>7.9617713219658118E-2</v>
      </c>
    </row>
    <row r="20" spans="29:31" ht="21" x14ac:dyDescent="0.4">
      <c r="AC20" s="14" t="s">
        <v>31</v>
      </c>
      <c r="AD20" s="17">
        <v>0.20176386514795752</v>
      </c>
      <c r="AE20" s="15">
        <v>7.4535608415735186E-2</v>
      </c>
    </row>
    <row r="21" spans="29:31" ht="21" x14ac:dyDescent="0.3"/>
    <row r="54" spans="4:68" x14ac:dyDescent="0.3">
      <c r="D54" s="21" t="s">
        <v>100</v>
      </c>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4:68" x14ac:dyDescent="0.3">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row>
    <row r="56" spans="4:68" ht="14.4" customHeight="1" x14ac:dyDescent="0.3">
      <c r="D56" s="23" t="s">
        <v>104</v>
      </c>
      <c r="E56" s="23"/>
      <c r="F56" s="23"/>
      <c r="G56" s="23"/>
      <c r="H56" s="23"/>
      <c r="I56" s="23"/>
      <c r="J56" s="23"/>
      <c r="K56" s="23"/>
      <c r="L56" s="23"/>
      <c r="M56" s="23"/>
      <c r="N56" s="23"/>
      <c r="O56" s="23"/>
      <c r="P56" s="23"/>
      <c r="Q56" s="23"/>
      <c r="R56" s="23"/>
      <c r="S56" s="23"/>
      <c r="T56" s="23" t="s">
        <v>101</v>
      </c>
      <c r="U56" s="23"/>
      <c r="V56" s="23"/>
      <c r="W56" s="23"/>
      <c r="X56" s="23"/>
      <c r="Y56" s="23"/>
      <c r="Z56" s="23"/>
      <c r="AA56" s="23"/>
      <c r="AB56" s="23"/>
      <c r="AC56" s="23"/>
      <c r="AD56" s="23"/>
      <c r="AE56" s="23"/>
      <c r="AF56" s="23"/>
      <c r="AM56" s="27"/>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row>
    <row r="57" spans="4:68" x14ac:dyDescent="0.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row>
    <row r="58" spans="4:68" ht="14.4" customHeight="1" x14ac:dyDescent="0.3">
      <c r="D58" s="23" t="s">
        <v>106</v>
      </c>
      <c r="E58" s="23"/>
      <c r="F58" s="23"/>
      <c r="G58" s="23"/>
      <c r="H58" s="23"/>
      <c r="I58" s="23"/>
      <c r="J58" s="23"/>
      <c r="K58" s="23"/>
      <c r="L58" s="23"/>
      <c r="M58" s="23"/>
      <c r="N58" s="23"/>
      <c r="O58" s="23"/>
      <c r="P58" s="23"/>
      <c r="Q58" s="23"/>
      <c r="R58" s="23"/>
      <c r="S58" s="23"/>
      <c r="T58" s="23" t="s">
        <v>102</v>
      </c>
      <c r="U58" s="23"/>
      <c r="V58" s="23"/>
      <c r="W58" s="23"/>
      <c r="X58" s="23"/>
      <c r="Y58" s="23"/>
      <c r="Z58" s="23"/>
      <c r="AA58" s="23"/>
      <c r="AB58" s="23"/>
      <c r="AC58" s="23"/>
      <c r="AD58" s="23"/>
      <c r="AE58" s="23"/>
      <c r="AF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row>
    <row r="59" spans="4:68" ht="14.4" customHeight="1" x14ac:dyDescent="0.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row>
    <row r="60" spans="4:68" ht="14.4" customHeight="1" x14ac:dyDescent="0.3">
      <c r="D60" s="23" t="s">
        <v>105</v>
      </c>
      <c r="E60" s="23"/>
      <c r="F60" s="23"/>
      <c r="G60" s="23"/>
      <c r="H60" s="23"/>
      <c r="I60" s="23"/>
      <c r="J60" s="23"/>
      <c r="K60" s="23"/>
      <c r="L60" s="23"/>
      <c r="M60" s="23"/>
      <c r="N60" s="23"/>
      <c r="O60" s="23"/>
      <c r="P60" s="23"/>
      <c r="Q60" s="23"/>
      <c r="R60" s="23"/>
      <c r="S60" s="23"/>
      <c r="T60" s="23" t="s">
        <v>103</v>
      </c>
      <c r="U60" s="23"/>
      <c r="V60" s="23"/>
      <c r="W60" s="23"/>
      <c r="X60" s="23"/>
      <c r="Y60" s="23"/>
      <c r="Z60" s="23"/>
      <c r="AA60" s="23"/>
      <c r="AB60" s="23"/>
      <c r="AC60" s="23"/>
      <c r="AD60" s="23"/>
      <c r="AE60" s="23"/>
      <c r="AF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row>
    <row r="61" spans="4:68" ht="14.4" customHeight="1" x14ac:dyDescent="0.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row>
    <row r="62" spans="4:68" ht="14.4" customHeight="1" x14ac:dyDescent="0.3">
      <c r="D62" s="23" t="s">
        <v>107</v>
      </c>
      <c r="E62" s="23"/>
      <c r="F62" s="23"/>
      <c r="G62" s="23"/>
      <c r="H62" s="23"/>
      <c r="I62" s="23"/>
      <c r="J62" s="23"/>
      <c r="K62" s="23"/>
      <c r="L62" s="23"/>
      <c r="M62" s="23"/>
      <c r="N62" s="23"/>
      <c r="O62" s="23"/>
      <c r="P62" s="23"/>
      <c r="Q62" s="23"/>
      <c r="R62" s="23"/>
      <c r="S62" s="23"/>
      <c r="T62" s="23" t="s">
        <v>108</v>
      </c>
      <c r="U62" s="23"/>
      <c r="V62" s="23"/>
      <c r="W62" s="23"/>
      <c r="X62" s="23"/>
      <c r="Y62" s="23"/>
      <c r="Z62" s="23"/>
      <c r="AA62" s="23"/>
      <c r="AB62" s="23"/>
      <c r="AC62" s="23"/>
      <c r="AD62" s="23"/>
      <c r="AE62" s="23"/>
      <c r="AF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row>
    <row r="63" spans="4:68" ht="14.4" customHeight="1" x14ac:dyDescent="0.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row>
    <row r="64" spans="4:68" ht="14.4" customHeight="1" x14ac:dyDescent="0.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row>
    <row r="65" spans="39:67" ht="14.4" customHeight="1" x14ac:dyDescent="0.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row>
  </sheetData>
  <sheetProtection selectLockedCells="1" sort="0" autoFilter="0" pivotTables="0" selectUnlockedCells="1"/>
  <mergeCells count="22">
    <mergeCell ref="BC64:BO65"/>
    <mergeCell ref="D62:S63"/>
    <mergeCell ref="T62:AF63"/>
    <mergeCell ref="AM56:BP57"/>
    <mergeCell ref="AM58:BB59"/>
    <mergeCell ref="BC58:BO59"/>
    <mergeCell ref="AM60:BB61"/>
    <mergeCell ref="BC60:BO61"/>
    <mergeCell ref="AM62:BB63"/>
    <mergeCell ref="BC62:BO63"/>
    <mergeCell ref="D58:S59"/>
    <mergeCell ref="T58:AF59"/>
    <mergeCell ref="D60:S61"/>
    <mergeCell ref="T60:AF61"/>
    <mergeCell ref="T56:AF57"/>
    <mergeCell ref="D56:S57"/>
    <mergeCell ref="E9:H10"/>
    <mergeCell ref="E11:H12"/>
    <mergeCell ref="D54:AG55"/>
    <mergeCell ref="AM64:BB65"/>
    <mergeCell ref="AC13:AE13"/>
    <mergeCell ref="AC14:AE14"/>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A59EC8B-5FEB-4643-93C0-875099ED73BA}">
  <ds:schemaRefs>
    <ds:schemaRef ds:uri="http://schemas.microsoft.com/DataMashup"/>
  </ds:schemaRefs>
</ds:datastoreItem>
</file>

<file path=customXml/itemProps2.xml><?xml version="1.0" encoding="utf-8"?>
<ds:datastoreItem xmlns:ds="http://schemas.openxmlformats.org/officeDocument/2006/customXml" ds:itemID="{3C6FA74F-0EE5-4149-9B8F-2A42442FAFAC}">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840DF6B8-1A78-4F16-B289-A85C00437B0E}">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Analysis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Vardhan</dc:creator>
  <cp:lastModifiedBy>Harsh Vardhan</cp:lastModifiedBy>
  <dcterms:created xsi:type="dcterms:W3CDTF">2026-04-13T10:45:14Z</dcterms:created>
  <dcterms:modified xsi:type="dcterms:W3CDTF">2026-04-17T12:43:26Z</dcterms:modified>
</cp:coreProperties>
</file>